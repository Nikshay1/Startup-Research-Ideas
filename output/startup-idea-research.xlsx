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27.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26.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28.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24.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8.xml" ContentType="application/vnd.openxmlformats-officedocument.drawing+xml"/>
  <Override PartName="/xl/drawings/drawing13.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8.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3.xml" ContentType="application/vnd.openxmlformats-officedocument.drawing+xml"/>
  <Override PartName="/xl/drawings/drawing25.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22.xml" ContentType="application/vnd.openxmlformats-officedocument.drawing+xml"/>
  <Override PartName="/xl/drawings/drawing19.xml" ContentType="application/vnd.openxmlformats-officedocument.drawing+xml"/>
  <Override PartName="/xl/drawings/drawing24.xml" ContentType="application/vnd.openxmlformats-officedocument.drawing+xml"/>
  <Override PartName="/xl/drawings/drawing14.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23.xml" ContentType="application/vnd.openxmlformats-officedocument.drawing+xml"/>
  <Override PartName="/xl/drawings/drawing21.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Themes overview" sheetId="2" state="visible" r:id="rId4"/>
    <sheet name="Incubators" sheetId="3" state="visible" r:id="rId5"/>
    <sheet name="AI service firms" sheetId="4" state="visible" r:id="rId6"/>
    <sheet name="Old-industry AI" sheetId="5" state="visible" r:id="rId7"/>
    <sheet name="Finance back-office" sheetId="6" state="visible" r:id="rId8"/>
    <sheet name="Healthcare AI" sheetId="7" state="visible" r:id="rId9"/>
    <sheet name="AI workforce" sheetId="8" state="visible" r:id="rId10"/>
    <sheet name="Sales and marketing" sheetId="9" state="visible" r:id="rId11"/>
    <sheet name="Hiring" sheetId="10" state="visible" r:id="rId12"/>
    <sheet name="Legal and gov" sheetId="11" state="visible" r:id="rId13"/>
    <sheet name="Agent infrastructure" sheetId="12" state="visible" r:id="rId14"/>
    <sheet name="Agent safety" sheetId="13" state="visible" r:id="rId15"/>
    <sheet name="Coding and dev tools" sheetId="14" state="visible" r:id="rId16"/>
    <sheet name="Training data" sheetId="15" state="visible" r:id="rId17"/>
    <sheet name="Models and compute" sheetId="16" state="visible" r:id="rId18"/>
    <sheet name="Voice AI" sheetId="17" state="visible" r:id="rId19"/>
    <sheet name="Robotics" sheetId="18" state="visible" r:id="rId20"/>
    <sheet name="Defense and space" sheetId="19" state="visible" r:id="rId21"/>
    <sheet name="Industrial and hardware" sheetId="20" state="visible" r:id="rId22"/>
    <sheet name="Fintech and markets" sheetId="21" state="visible" r:id="rId23"/>
    <sheet name="Bio and science" sheetId="22" state="visible" r:id="rId24"/>
    <sheet name="Consumer apps" sheetId="23" state="visible" r:id="rId25"/>
    <sheet name="Personal AI" sheetId="24" state="visible" r:id="rId26"/>
    <sheet name="Creative tools" sheetId="25" state="visible" r:id="rId27"/>
    <sheet name="Other" sheetId="26" state="visible" r:id="rId28"/>
    <sheet name="India-based" sheetId="27" state="visible" r:id="rId29"/>
    <sheet name="YC all 900" sheetId="28" state="visible" r:id="rId30"/>
  </sheets>
  <definedNames>
    <definedName function="false" hidden="true" localSheetId="11" name="_xlnm._FilterDatabase" vbProcedure="false">'Agent infrastructure'!$A$1:$L$20</definedName>
    <definedName function="false" hidden="true" localSheetId="12" name="_xlnm._FilterDatabase" vbProcedure="false">'Agent safety'!$A$1:$L$23</definedName>
    <definedName function="false" hidden="true" localSheetId="3" name="_xlnm._FilterDatabase" vbProcedure="false">'AI service firms'!$A$1:$L$19</definedName>
    <definedName function="false" hidden="true" localSheetId="7" name="_xlnm._FilterDatabase" vbProcedure="false">'AI workforce'!$A$1:$L$21</definedName>
    <definedName function="false" hidden="true" localSheetId="21" name="_xlnm._FilterDatabase" vbProcedure="false">'Bio and science'!$A$1:$L$11</definedName>
    <definedName function="false" hidden="true" localSheetId="13" name="_xlnm._FilterDatabase" vbProcedure="false">'Coding and dev tools'!$A$1:$L$18</definedName>
    <definedName function="false" hidden="true" localSheetId="22" name="_xlnm._FilterDatabase" vbProcedure="false">'Consumer apps'!$A$1:$L$20</definedName>
    <definedName function="false" hidden="true" localSheetId="24" name="_xlnm._FilterDatabase" vbProcedure="false">'Creative tools'!$A$1:$L$11</definedName>
    <definedName function="false" hidden="true" localSheetId="18" name="_xlnm._FilterDatabase" vbProcedure="false">'Defense and space'!$A$1:$L$16</definedName>
    <definedName function="false" hidden="true" localSheetId="5" name="_xlnm._FilterDatabase" vbProcedure="false">'Finance back-office'!$A$1:$L$19</definedName>
    <definedName function="false" hidden="true" localSheetId="20" name="_xlnm._FilterDatabase" vbProcedure="false">'Fintech and markets'!$A$1:$L$21</definedName>
    <definedName function="false" hidden="true" localSheetId="6" name="_xlnm._FilterDatabase" vbProcedure="false">'Healthcare AI'!$A$1:$L$27</definedName>
    <definedName function="false" hidden="true" localSheetId="9" name="_xlnm._FilterDatabase" vbProcedure="false">Hiring!$A$1:$L$9</definedName>
    <definedName function="false" hidden="true" localSheetId="2" name="_xlnm._FilterDatabase" vbProcedure="false">Incubators!$A$1:$M$23</definedName>
    <definedName function="false" hidden="true" localSheetId="26" name="_xlnm._FilterDatabase" vbProcedure="false">'India-based'!$A$1:$L$54</definedName>
    <definedName function="false" hidden="true" localSheetId="19" name="_xlnm._FilterDatabase" vbProcedure="false">'Industrial and hardware'!$A$1:$L$29</definedName>
    <definedName function="false" hidden="true" localSheetId="10" name="_xlnm._FilterDatabase" vbProcedure="false">'Legal and gov'!$A$1:$L$14</definedName>
    <definedName function="false" hidden="true" localSheetId="15" name="_xlnm._FilterDatabase" vbProcedure="false">'Models and compute'!$A$1:$L$19</definedName>
    <definedName function="false" hidden="true" localSheetId="4" name="_xlnm._FilterDatabase" vbProcedure="false">'Old-industry AI'!$A$1:$L$22</definedName>
    <definedName function="false" hidden="true" localSheetId="25" name="_xlnm._FilterDatabase" vbProcedure="false">Other!$A$1:$L$1</definedName>
    <definedName function="false" hidden="true" localSheetId="23" name="_xlnm._FilterDatabase" vbProcedure="false">'Personal AI'!$A$1:$L$13</definedName>
    <definedName function="false" hidden="true" localSheetId="17" name="_xlnm._FilterDatabase" vbProcedure="false">Robotics!$A$1:$L$18</definedName>
    <definedName function="false" hidden="true" localSheetId="8" name="_xlnm._FilterDatabase" vbProcedure="false">'Sales and marketing'!$A$1:$L$21</definedName>
    <definedName function="false" hidden="true" localSheetId="1" name="_xlnm._FilterDatabase" vbProcedure="false">'Themes overview'!$A$1:$L$24</definedName>
    <definedName function="false" hidden="true" localSheetId="14" name="_xlnm._FilterDatabase" vbProcedure="false">'Training data'!$A$1:$L$13</definedName>
    <definedName function="false" hidden="true" localSheetId="16" name="_xlnm._FilterDatabase" vbProcedure="false">'Voice AI'!$A$1:$L$12</definedName>
    <definedName function="false" hidden="true" localSheetId="27" name="_xlnm._FilterDatabase" vbProcedure="false">'YC all 900'!$A$1:$K$901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<sst xmlns="http://schemas.openxmlformats.org/spreadsheetml/2006/main" count="14556" uniqueCount="5522">
  <si>
    <t xml:space="preserve">Startup idea research</t>
  </si>
  <si>
    <t xml:space="preserve">Which pre-seed ideas are incubators funding, and where can two founders from India apply?</t>
  </si>
  <si>
    <t xml:space="preserve">How to read this file</t>
  </si>
  <si>
    <t xml:space="preserve">Themes overview</t>
  </si>
  <si>
    <t xml:space="preserve">All themes on one page with how many companies YC funded in each of its last 5 batches. Start here to see what is rising.</t>
  </si>
  <si>
    <t xml:space="preserve">Incubators</t>
  </si>
  <si>
    <t xml:space="preserve">Each program: money, equity taken, who can apply, timing, and how far to trust the row.</t>
  </si>
  <si>
    <t xml:space="preserve">One tab per theme</t>
  </si>
  <si>
    <t xml:space="preserve">Each theme tab lists funded startups with the idea in one plain sentence. Rows based in India are shaded yellow.</t>
  </si>
  <si>
    <t xml:space="preserve">India-based</t>
  </si>
  <si>
    <t xml:space="preserve">Every funded startup in this file that is based in India, across all themes.</t>
  </si>
  <si>
    <t xml:space="preserve">YC all 900</t>
  </si>
  <si>
    <t xml:space="preserve">Every YC company from Fall 2025 to Fall 2026 with YC's own one-line description and its theme. Use the filters.</t>
  </si>
  <si>
    <t xml:space="preserve">What the columns mean</t>
  </si>
  <si>
    <t xml:space="preserve">Funding</t>
  </si>
  <si>
    <t xml:space="preserve">The program's standard cheque unless the startup's own round was reported. The next column says which.</t>
  </si>
  <si>
    <t xml:space="preserve">India / USA / Other</t>
  </si>
  <si>
    <t xml:space="preserve">Where the company is based, not where the founders are from. 'Unknown' means the source did not say.</t>
  </si>
  <si>
    <t xml:space="preserve">Indian founders?</t>
  </si>
  <si>
    <t xml:space="preserve">yes = source says so or company is in India. reported = a newsletter lists them as Indian-origin, not verified. unknown = not checked.</t>
  </si>
  <si>
    <t xml:space="preserve">Confidence</t>
  </si>
  <si>
    <t xml:space="preserve">high = official directory or the program's own page. medium = news report. low = third-party list.</t>
  </si>
  <si>
    <t xml:space="preserve">Where the data lives</t>
  </si>
  <si>
    <t xml:space="preserve">This file is generated from the CSV files in data/ by scripts/build_workbook.py. Edit the CSVs, not this file.</t>
  </si>
  <si>
    <t xml:space="preserve">Research date</t>
  </si>
  <si>
    <t xml:space="preserve">2026-10-13</t>
  </si>
  <si>
    <t xml:space="preserve">Theme</t>
  </si>
  <si>
    <t xml:space="preserve">What it means in simple words</t>
  </si>
  <si>
    <t xml:space="preserve">Tab name</t>
  </si>
  <si>
    <t xml:space="preserve">Startups listed in this file</t>
  </si>
  <si>
    <t xml:space="preserve">YC Fall 2025</t>
  </si>
  <si>
    <t xml:space="preserve">YC Winter 2026</t>
  </si>
  <si>
    <t xml:space="preserve">YC Spring 2026</t>
  </si>
  <si>
    <t xml:space="preserve">YC Summer 2026</t>
  </si>
  <si>
    <t xml:space="preserve">YC Fall 2026</t>
  </si>
  <si>
    <t xml:space="preserve">YC total (5 batches)</t>
  </si>
  <si>
    <t xml:space="preserve">Share of Fall 2025 batch</t>
  </si>
  <si>
    <t xml:space="preserve">Share of Summer 2026 batch</t>
  </si>
  <si>
    <t xml:space="preserve">AI-native service companies</t>
  </si>
  <si>
    <t xml:space="preserve">Instead of selling software to a law firm or an accounting firm, the startup IS the firm. It sells the finished work (a filed tax return, an insurance policy, a collected debt) and uses AI internally so it needs far fewer people.</t>
  </si>
  <si>
    <t xml:space="preserve">AI service firms</t>
  </si>
  <si>
    <t xml:space="preserve">AI for traditional industries</t>
  </si>
  <si>
    <t xml:space="preserve">An "AI employee" or "AI operating system" for one old-school industry: hotels, restaurants, auto repair shops, construction, trucking, wholesale distributors, property managers.</t>
  </si>
  <si>
    <t xml:space="preserve">Old-industry AI</t>
  </si>
  <si>
    <t xml:space="preserve">AI for finance and back-office teams</t>
  </si>
  <si>
    <t xml:space="preserve">AI agents that do the boring finance work inside companies, banks, lenders and insurers: bookkeeping, invoices, audits, loan files, claims, compliance checks, investment research.</t>
  </si>
  <si>
    <t xml:space="preserve">Finance back-office</t>
  </si>
  <si>
    <t xml:space="preserve">Healthcare AI</t>
  </si>
  <si>
    <t xml:space="preserve">AI for clinics, hospitals and patients: medical billing, insurance approvals, front-desk calls, AI doctors and health assistants, medical imaging.</t>
  </si>
  <si>
    <t xml:space="preserve">Enterprise AI workers and company brain</t>
  </si>
  <si>
    <t xml:space="preserve">General-purpose AI employees for any company, a "company brain" that remembers everything the company knows, customer-support agents, and teams that go into a big company and automate its work for it.</t>
  </si>
  <si>
    <t xml:space="preserve">AI workforce</t>
  </si>
  <si>
    <t xml:space="preserve">Sales, marketing and growth AI</t>
  </si>
  <si>
    <t xml:space="preserve">AI that finds customers, runs ads, writes marketing content, coaches sales calls, and helps a product get recommended by ChatGPT-style assistants.</t>
  </si>
  <si>
    <t xml:space="preserve">Sales and marketing</t>
  </si>
  <si>
    <t xml:space="preserve">Recruiting and hiring</t>
  </si>
  <si>
    <t xml:space="preserve">AI recruiters, hiring marketplaces, tools that test candidates, and agents that apply to jobs for you.</t>
  </si>
  <si>
    <t xml:space="preserve">Hiring</t>
  </si>
  <si>
    <t xml:space="preserve">Legal, compliance and government</t>
  </si>
  <si>
    <t xml:space="preserve">Software (not a law firm) for lawyers, compliance teams, patent work, product certifications, and government offices.</t>
  </si>
  <si>
    <t xml:space="preserve">Legal and gov</t>
  </si>
  <si>
    <t xml:space="preserve">Infrastructure for AI agents</t>
  </si>
  <si>
    <t xml:space="preserve">The plumbing AI agents need to work on their own: a computer to run on, a wallet to pay with, a phone number, an identity, memory, web access, and cheaper model usage.</t>
  </si>
  <si>
    <t xml:space="preserve">Agent infrastructure</t>
  </si>
  <si>
    <t xml:space="preserve">Agent reliability, testing and security</t>
  </si>
  <si>
    <t xml:space="preserve">Tools that check whether AI agents work correctly and safely: monitoring, testing in fake environments, guardrails, permission control, plus classic cybersecurity done by AI.</t>
  </si>
  <si>
    <t xml:space="preserve">Agent safety</t>
  </si>
  <si>
    <t xml:space="preserve">Coding agents and developer tools</t>
  </si>
  <si>
    <t xml:space="preserve">AI that writes, reviews, tests and operates software, and the tools around it: new code hosting, cloud dev machines, on-call agents that fix outages.</t>
  </si>
  <si>
    <t xml:space="preserve">Coding and dev tools</t>
  </si>
  <si>
    <t xml:space="preserve">Training data and practice environments for AI</t>
  </si>
  <si>
    <t xml:space="preserve">Companies that sell data to AI labs: expert-written answers, recordings of people doing computer work, robot and human-movement data, practice "gyms" and benchmarks for models.</t>
  </si>
  <si>
    <t xml:space="preserve">Training data</t>
  </si>
  <si>
    <t xml:space="preserve">AI models, research labs and compute</t>
  </si>
  <si>
    <t xml:space="preserve">New AI models, small research labs, cheaper and faster clouds for running models, and GPU marketplaces.</t>
  </si>
  <si>
    <t xml:space="preserve">Models and compute</t>
  </si>
  <si>
    <t xml:space="preserve">Voice AI</t>
  </si>
  <si>
    <t xml:space="preserve">AI that talks and listens: voice agents for phone calls, speech models for many languages, voice infrastructure.</t>
  </si>
  <si>
    <t xml:space="preserve">Robotics and physical AI</t>
  </si>
  <si>
    <t xml:space="preserve">Humanoids, warehouse and farm robots, robot parts, and software that lets robots learn and be deployed.</t>
  </si>
  <si>
    <t xml:space="preserve">Robotics</t>
  </si>
  <si>
    <t xml:space="preserve">Defense, drones, aviation and space</t>
  </si>
  <si>
    <t xml:space="preserve">Counter-drone systems, interceptors, military drones, satellites, rockets, aviation software.</t>
  </si>
  <si>
    <t xml:space="preserve">Defense and space</t>
  </si>
  <si>
    <t xml:space="preserve">Manufacturing, hardware, chips and energy</t>
  </si>
  <si>
    <t xml:space="preserve">Factories and factory software, chip design and chip making, design tools for hardware engineers, data-center power and cooling, nuclear and grid.</t>
  </si>
  <si>
    <t xml:space="preserve">Industrial and hardware</t>
  </si>
  <si>
    <t xml:space="preserve">Fintech, trading and markets</t>
  </si>
  <si>
    <t xml:space="preserve">Prediction-market tools, trading apps, AI hedge funds, stablecoin payments, insurance for AI risks, cross-border payments.</t>
  </si>
  <si>
    <t xml:space="preserve">Fintech and markets</t>
  </si>
  <si>
    <t xml:space="preserve">Biotech, drug discovery and AI for science</t>
  </si>
  <si>
    <t xml:space="preserve">AI scientists, drug discovery, lab automation, new materials, regulatory paperwork for life sciences.</t>
  </si>
  <si>
    <t xml:space="preserve">Bio and science</t>
  </si>
  <si>
    <t xml:space="preserve">Consumer apps and consumer hardware</t>
  </si>
  <si>
    <t xml:space="preserve">Apps and gadgets for normal people: learning, games, health coaching, social, shopping, wearables.</t>
  </si>
  <si>
    <t xml:space="preserve">Consumer apps</t>
  </si>
  <si>
    <t xml:space="preserve">Personal AI assistants and AI devices</t>
  </si>
  <si>
    <t xml:space="preserve">An AI assistant that does your own work and errands, AI-first browsers and desktops, and new devices (earbuds, glasses, pins, phones) built around AI.</t>
  </si>
  <si>
    <t xml:space="preserve">Personal AI</t>
  </si>
  <si>
    <t xml:space="preserve">Creative and media tools</t>
  </si>
  <si>
    <t xml:space="preserve">AI video editors, AI film making, design tools, avatars.</t>
  </si>
  <si>
    <t xml:space="preserve">Creative tools</t>
  </si>
  <si>
    <t xml:space="preserve">Other or unclear</t>
  </si>
  <si>
    <t xml:space="preserve">Companies with no public description yet.</t>
  </si>
  <si>
    <t xml:space="preserve">Other</t>
  </si>
  <si>
    <t xml:space="preserve">Total</t>
  </si>
  <si>
    <t xml:space="preserve">YC counts are formulas over the 'YC all 900' tab (source: yc-oss.github.io/api, read 2026-10-13). Themes were assigned by hand from each company's description; see data/yc_bracket_assignments.csv.</t>
  </si>
  <si>
    <t xml:space="preserve">Program</t>
  </si>
  <si>
    <t xml:space="preserve">Type</t>
  </si>
  <si>
    <t xml:space="preserve">Based in</t>
  </si>
  <si>
    <t xml:space="preserve">Can founders in India apply?</t>
  </si>
  <si>
    <t xml:space="preserve">Money</t>
  </si>
  <si>
    <t xml:space="preserve">Equity taken</t>
  </si>
  <si>
    <t xml:space="preserve">Stage and who they want</t>
  </si>
  <si>
    <t xml:space="preserve">Format</t>
  </si>
  <si>
    <t xml:space="preserve">Student friendly?</t>
  </si>
  <si>
    <t xml:space="preserve">Timing / next date</t>
  </si>
  <si>
    <t xml:space="preserve">Notes</t>
  </si>
  <si>
    <t xml:space="preserve">Source</t>
  </si>
  <si>
    <t xml:space="preserve">Y Combinator</t>
  </si>
  <si>
    <t xml:space="preserve">Accelerator</t>
  </si>
  <si>
    <t xml:space="preserve">San Francisco, USA</t>
  </si>
  <si>
    <t xml:space="preserve">Yes. Any country can apply. If accepted, the company needs a parent company in the US, Canada, Singapore or Cayman Islands.</t>
  </si>
  <si>
    <t xml:space="preserve">$500K</t>
  </si>
  <si>
    <t xml:space="preserve">7% for the first $125K; the other $375K is an uncapped SAFE that converts at the terms of your next round</t>
  </si>
  <si>
    <t xml:space="preserve">Any stage, idea to revenue. Wants a founding team and an idea. Non-technical teams need a technical co-founder.</t>
  </si>
  <si>
    <t xml:space="preserve">3 months in person in San Francisco. Four batches a year (Winter, Spring, Summer, Fall).</t>
  </si>
  <si>
    <t xml:space="preserve">Yes. Students can apply and can ask to join a batch after they graduate (Early Decision). Founders must work full-time during the batch.</t>
  </si>
  <si>
    <t xml:space="preserve">Winter 2027 deadline reported as 2026-11-02, 8pm PT, decisions by 2026-12-11. Confirm on ycombinator.com/apply.</t>
  </si>
  <si>
    <t xml:space="preserve">Only 9 of the last 900 YC companies are based in India, while a community estimate says about 20% of Summer 2026 founders are of Indian origin. Most Indian founders in YC run US-based companies.</t>
  </si>
  <si>
    <t xml:space="preserve">https://www.ycombinator.com/deal ; https://www.ycombinator.com/faq</t>
  </si>
  <si>
    <t xml:space="preserve">high</t>
  </si>
  <si>
    <t xml:space="preserve">a16z Speedrun</t>
  </si>
  <si>
    <t xml:space="preserve">Not stated in the sources read. The program is in person in San Francisco.</t>
  </si>
  <si>
    <t xml:space="preserve">Up to $1M</t>
  </si>
  <si>
    <t xml:space="preserve">10% for the first $500K; a further $500K goes into your next round within 18 months</t>
  </si>
  <si>
    <t xml:space="preserve">Pre-seed. Very selective, under 1% accepted (one source: 19,000 applicants for SR006).</t>
  </si>
  <si>
    <t xml:space="preserve">About 11 weeks in San Francisco. Two cohorts a year, roughly 50 to 80 startups each.</t>
  </si>
  <si>
    <t xml:space="preserve">Not stated.</t>
  </si>
  <si>
    <t xml:space="preserve">SR008 runs late January to April 2027. Application dates not found yet.</t>
  </si>
  <si>
    <t xml:space="preserve">No board seat. Money is wired on acceptance. Over $5M in partner credits.</t>
  </si>
  <si>
    <t xml:space="preserve">https://foundedceo.substack.com/p/a16z-speedruns-sr007-demo-day-is ; https://www.frontrun.vc/blog/a16z-speedrun-cohort-007-companies/</t>
  </si>
  <si>
    <t xml:space="preserve">medium</t>
  </si>
  <si>
    <t xml:space="preserve">South Park Commons Founder Fellowship</t>
  </si>
  <si>
    <t xml:space="preserve">Fellowship</t>
  </si>
  <si>
    <t xml:space="preserve">San Francisco, New York and Bengaluru</t>
  </si>
  <si>
    <t xml:space="preserve">Yes. Bengaluru is one of the three bootcamp locations.</t>
  </si>
  <si>
    <t xml:space="preserve">7% for $400K up front; a further $600K is guaranteed in your next outside-led round</t>
  </si>
  <si>
    <t xml:space="preserve">Very early. You do not need an idea to apply. Strong preference for people who can build the product themselves.</t>
  </si>
  <si>
    <t xml:space="preserve">8-week in-person bootcamp. No demo day.</t>
  </si>
  <si>
    <t xml:space="preserve">Fall 2026 applications closed 2026-08-02. Next cycle not announced.</t>
  </si>
  <si>
    <t xml:space="preserve">A good fit for "we have skills but are still choosing the idea". The size of the India fund is not confirmed.</t>
  </si>
  <si>
    <t xml:space="preserve">https://x.com/southpkcommons/status/2074942309599224190 ; https://www.southparkcommons.com/faq</t>
  </si>
  <si>
    <t xml:space="preserve">Antler India</t>
  </si>
  <si>
    <t xml:space="preserve">Residency + direct investment</t>
  </si>
  <si>
    <t xml:space="preserve">Bengaluru, India</t>
  </si>
  <si>
    <t xml:space="preserve">Yes, it is the India program.</t>
  </si>
  <si>
    <t xml:space="preserve">Up to ₹4 crore (about $425K-$470K)</t>
  </si>
  <si>
    <t xml:space="preserve">11%</t>
  </si>
  <si>
    <t xml:space="preserve">Pre-launch, pre-product or pre-revenue teams working full-time. Focus on AI-first startups.</t>
  </si>
  <si>
    <t xml:space="preserve">3-week AI Residency, first 2 weeks in person in Bengaluru, with a one-time ₹2 lakh expense grant. About half of Antler India's investments happen outside the residency.</t>
  </si>
  <si>
    <t xml:space="preserve">Not stated. Requires full-time commitment.</t>
  </si>
  <si>
    <t xml:space="preserve">Next residency "to be announced soon" (page read 2026-10-13).</t>
  </si>
  <si>
    <t xml:space="preserve">Funding decision in 3 weeks. The page claims 50-75% of residency teams get funded.</t>
  </si>
  <si>
    <t xml:space="preserve">https://www.antler.co/india</t>
  </si>
  <si>
    <t xml:space="preserve">Entrepreneur First</t>
  </si>
  <si>
    <t xml:space="preserve">Talent investor</t>
  </si>
  <si>
    <t xml:space="preserve">London; cohorts in Bangalore and other cities</t>
  </si>
  <si>
    <t xml:space="preserve">Yes, runs a Bangalore cohort.</t>
  </si>
  <si>
    <t xml:space="preserve">Not confirmed. A 2026 guide says $250K on the US pathway; older Bangalore reports say about $55K plus a monthly stipend.</t>
  </si>
  <si>
    <t xml:space="preserve">US pathway reported as 8% for $125K plus a $125K uncapped SAFE. Bangalore terms not confirmed.</t>
  </si>
  <si>
    <t xml:space="preserve">Individuals. You join before you have a co-founder or an idea.</t>
  </si>
  <si>
    <t xml:space="preserve">Cohort program in Bangalore.</t>
  </si>
  <si>
    <t xml:space="preserve">Bangalore Winter 2027: early deadline was 2026-10-05; start reported as January or February 2027.</t>
  </si>
  <si>
    <t xml:space="preserve">EF also took part in the $1M pre-seed of ByteAsk (two IIT Delhi graduates, YC Fall 2026). Check terms on EF's own site.</t>
  </si>
  <si>
    <t xml:space="preserve">https://hub.causo.ai/guides/how-to-apply-to-entrepreneur-first-2026</t>
  </si>
  <si>
    <t xml:space="preserve">low</t>
  </si>
  <si>
    <t xml:space="preserve">Peak XV Surge</t>
  </si>
  <si>
    <t xml:space="preserve">Seed program</t>
  </si>
  <si>
    <t xml:space="preserve">India and Southeast Asia</t>
  </si>
  <si>
    <t xml:space="preserve">Yes. The cohort mixes India-based companies and companies abroad.</t>
  </si>
  <si>
    <t xml:space="preserve">Up to $5M per startup (raised from $3M with Surge 12)</t>
  </si>
  <si>
    <t xml:space="preserve">Not disclosed</t>
  </si>
  <si>
    <t xml:space="preserve">Seed, larger than pre-seed. Most Surge 12 companies had already raised money.</t>
  </si>
  <si>
    <t xml:space="preserve">Cohort program. Surge 12 had 18 startups.</t>
  </si>
  <si>
    <t xml:space="preserve">Surge 12 was announced 2026-09-28/29.</t>
  </si>
  <si>
    <t xml:space="preserve">Peak XV says it put over $50M into Surge 12. Better as a second step than a first cheque.</t>
  </si>
  <si>
    <t xml:space="preserve">https://inc42.com/buzz/meet-the-startups-from-peak-xvs-surge-12/</t>
  </si>
  <si>
    <t xml:space="preserve">Accel Atoms (AI Cohort, with Google AI Futures Fund)</t>
  </si>
  <si>
    <t xml:space="preserve">Pre-seed program</t>
  </si>
  <si>
    <t xml:space="preserve">India</t>
  </si>
  <si>
    <t xml:space="preserve">Yes. Built for Indian and Indian-origin founders building AI startups anywhere.</t>
  </si>
  <si>
    <t xml:space="preserve">Up to $2M co-investment plus up to $350K compute credits</t>
  </si>
  <si>
    <t xml:space="preserve">Pre-seed AI-first startups.</t>
  </si>
  <si>
    <t xml:space="preserve">3 months, starts in Bengaluru, ends with a visit to Mountain View.</t>
  </si>
  <si>
    <t xml:space="preserve">2026 cohort ran March to June 2026. 5 startups chosen from 4,000+ applicants. Applications currently closed.</t>
  </si>
  <si>
    <t xml:space="preserve">Sources disagree on whether $2M is per investor or total. About 0.1% acceptance.</t>
  </si>
  <si>
    <t xml:space="preserve">https://www.outlookbusiness.com/deeptech/five-startups-to-join-accel-atoms-and-googles-ai-futures-fund-ai-cohort-2026</t>
  </si>
  <si>
    <t xml:space="preserve">100X.VC</t>
  </si>
  <si>
    <t xml:space="preserve">Pre-seed fund with classes</t>
  </si>
  <si>
    <t xml:space="preserve">Mumbai, India</t>
  </si>
  <si>
    <t xml:space="preserve">Yes.</t>
  </si>
  <si>
    <t xml:space="preserve">₹1.25 crore</t>
  </si>
  <si>
    <t xml:space="preserve">15% through an iSAFE note</t>
  </si>
  <si>
    <t xml:space="preserve">Early-stage Indian startups.</t>
  </si>
  <si>
    <t xml:space="preserve">Two classes a year, about 15-22 startups each, ending in a pitch day.</t>
  </si>
  <si>
    <t xml:space="preserve">Latest class found: Class 12, early 2025 (18 startups, $2.7M). No 2026 class found yet.</t>
  </si>
  <si>
    <t xml:space="preserve">The ₹1.25 crore for 15% terms are from 2022-2023 reports. Confirm on 100x.vc.</t>
  </si>
  <si>
    <t xml:space="preserve">https://yourstory.com/2025/01/100xvc-invests-27m-18-startups-12th-cohort</t>
  </si>
  <si>
    <t xml:space="preserve">AJVC</t>
  </si>
  <si>
    <t xml:space="preserve">Pre-seed fund</t>
  </si>
  <si>
    <t xml:space="preserve">₹1.5 crore (about $180K)</t>
  </si>
  <si>
    <t xml:space="preserve">9%. The same terms for every startup.</t>
  </si>
  <si>
    <t xml:space="preserve">Pre-seed, any sector.</t>
  </si>
  <si>
    <t xml:space="preserve">Direct investment, not a cohort. About 12-15 startups a year.</t>
  </si>
  <si>
    <t xml:space="preserve">Rolling.</t>
  </si>
  <si>
    <t xml:space="preserve">Fixed terms mean no negotiation. Reported to have backed 35+ companies by September 2026.</t>
  </si>
  <si>
    <t xml:space="preserve">https://india.entrepreneur.com/news-and-trends/aviral-bhatnagars-ajvc-closes-inr-100-cr-fund-to-back/487821</t>
  </si>
  <si>
    <t xml:space="preserve">All In Capital</t>
  </si>
  <si>
    <t xml:space="preserve">Pre-seed and seed fund</t>
  </si>
  <si>
    <t xml:space="preserve">Mumbai and Bengaluru, India</t>
  </si>
  <si>
    <t xml:space="preserve">$100K to $300K</t>
  </si>
  <si>
    <t xml:space="preserve">Pre-seed and seed.</t>
  </si>
  <si>
    <t xml:space="preserve">Direct investment.</t>
  </si>
  <si>
    <t xml:space="preserve">Rolling. Fund II of ₹200 crore launched.</t>
  </si>
  <si>
    <t xml:space="preserve">Fund I put $11M into 51 startups.</t>
  </si>
  <si>
    <t xml:space="preserve">https://india.entrepreneur.com/news-and-trends/all-in-capital-launches-inr-200-cr-fund-ii-eyes-inr-300-cr/488785</t>
  </si>
  <si>
    <t xml:space="preserve">Campus Fund</t>
  </si>
  <si>
    <t xml:space="preserve">Student-focused VC</t>
  </si>
  <si>
    <t xml:space="preserve">₹1 crore to ₹8 crore first cheque</t>
  </si>
  <si>
    <t xml:space="preserve">Startups founded by students, recent graduates and dropouts.</t>
  </si>
  <si>
    <t xml:space="preserve">Direct investment. "Build In India" sets aside up to $10M for first pre-seed cheques.</t>
  </si>
  <si>
    <t xml:space="preserve">Yes. This is the whole point of the fund.</t>
  </si>
  <si>
    <t xml:space="preserve">Rolling. Plans 60-80 startups over four years from a $100M fund.</t>
  </si>
  <si>
    <t xml:space="preserve">Portfolio leans deep tech, space and climate (Digantara, EtherealX).</t>
  </si>
  <si>
    <t xml:space="preserve">https://india.entrepreneur.com/?p=99916</t>
  </si>
  <si>
    <t xml:space="preserve">gradCapital</t>
  </si>
  <si>
    <t xml:space="preserve">Student-focused fund</t>
  </si>
  <si>
    <t xml:space="preserve">$40K</t>
  </si>
  <si>
    <t xml:space="preserve">4%</t>
  </si>
  <si>
    <t xml:space="preserve">Student founders.</t>
  </si>
  <si>
    <t xml:space="preserve">Cohort program; sources disagree on format (4 weeks in Bengaluru vs a 6-month residency at IISc).</t>
  </si>
  <si>
    <t xml:space="preserve">Yes. Built for students.</t>
  </si>
  <si>
    <t xml:space="preserve">Not found.</t>
  </si>
  <si>
    <t xml:space="preserve">Terms are from the September 2023 fund launch. Confirm on gradcapital.in.</t>
  </si>
  <si>
    <t xml:space="preserve">https://www.business-standard.com/amp/finance/investment/vc-firm-gradcapital-launches-6-million-fund-for-students-startups-123090100253_1.html</t>
  </si>
  <si>
    <t xml:space="preserve">WTFund (Nikhil Kamath)</t>
  </si>
  <si>
    <t xml:space="preserve">Grant</t>
  </si>
  <si>
    <t xml:space="preserve">₹20 lakh</t>
  </si>
  <si>
    <t xml:space="preserve">None. It is a grant.</t>
  </si>
  <si>
    <t xml:space="preserve">Founders under 25.</t>
  </si>
  <si>
    <t xml:space="preserve">Cohort with a bootcamp. Cohort 3 had 8 startups from 3,000+ applications.</t>
  </si>
  <si>
    <t xml:space="preserve">Cohort 3 applications closed 2025-05-31; cohort announced January 2026. Next window not found.</t>
  </si>
  <si>
    <t xml:space="preserve">One cohort-3 startup (Antimattr) is now in YC Fall 2026. Free money that does not block a later accelerator.</t>
  </si>
  <si>
    <t xml:space="preserve">https://odisha.plus/2026/01/nikhil-kamath-wtfund-young-founders-deeptech-healthcare-india/</t>
  </si>
  <si>
    <t xml:space="preserve">Emergent Ventures India</t>
  </si>
  <si>
    <t xml:space="preserve">India (run from the Mercatus Center, USA)</t>
  </si>
  <si>
    <t xml:space="preserve">Not published; varies by project</t>
  </si>
  <si>
    <t xml:space="preserve">Individuals and early projects, including students.</t>
  </si>
  <si>
    <t xml:space="preserve">No program. Apply through the Emergent Ventures form and choose India.</t>
  </si>
  <si>
    <t xml:space="preserve">Yes. Several 2026 winners are students.</t>
  </si>
  <si>
    <t xml:space="preserve">Rolling. Four India cohorts announced between April and September 2026.</t>
  </si>
  <si>
    <t xml:space="preserve">Useful for early travel, prototype or research costs.</t>
  </si>
  <si>
    <t xml:space="preserve">https://marginalrevolution.com/marginalrevolution/2026/09/emergent-ventures-india-19th-cohort.html</t>
  </si>
  <si>
    <t xml:space="preserve">Thiel Fellowship</t>
  </si>
  <si>
    <t xml:space="preserve">USA</t>
  </si>
  <si>
    <t xml:space="preserve">Yes. The 2026 class includes one fellow from Kanpur, India.</t>
  </si>
  <si>
    <t xml:space="preserve">$250K over two years</t>
  </si>
  <si>
    <t xml:space="preserve">Young founders. Age and drop-out rules were not stated in the source read; check the official site.</t>
  </si>
  <si>
    <t xml:space="preserve">Two-year fellowship, 12 fellows in 2026.</t>
  </si>
  <si>
    <t xml:space="preserve">Yes, but historically it requires leaving college. Verify.</t>
  </si>
  <si>
    <t xml:space="preserve">2026 class announced 2026-04-21.</t>
  </si>
  <si>
    <t xml:space="preserve">Extremely selective.</t>
  </si>
  <si>
    <t xml:space="preserve">https://insights.tryspecter.com/thiel-fellows-2026/</t>
  </si>
  <si>
    <t xml:space="preserve">Z Fellows</t>
  </si>
  <si>
    <t xml:space="preserve">USA, open to anywhere</t>
  </si>
  <si>
    <t xml:space="preserve">Yes. Applicants can be based anywhere.</t>
  </si>
  <si>
    <t xml:space="preserve">$10K (optional)</t>
  </si>
  <si>
    <t xml:space="preserve">Sources conflict: either an investment at a $1B valuation cap, or a grant with no equity</t>
  </si>
  <si>
    <t xml:space="preserve">Very early technical builders. No company needed.</t>
  </si>
  <si>
    <t xml:space="preserve">One-week program. Cohorts roughly every other month.</t>
  </si>
  <si>
    <t xml:space="preserve">Small money, mostly useful for the network.</t>
  </si>
  <si>
    <t xml:space="preserve">https://hub.causo.ai/guides/how-to-apply-to-z-fellows-2026</t>
  </si>
  <si>
    <t xml:space="preserve">Neo Residency</t>
  </si>
  <si>
    <t xml:space="preserve">$750K (reported for 2026)</t>
  </si>
  <si>
    <t xml:space="preserve">Reported as an uncapped SAFE, about 0.75% to 5%. Older terms were $125K for 2.5% plus a $500K SAFE.</t>
  </si>
  <si>
    <t xml:space="preserve">Technical founders, especially in AI.</t>
  </si>
  <si>
    <t xml:space="preserve">About 3 months, 12-20 startups.</t>
  </si>
  <si>
    <t xml:space="preserve">Has a separate Neo Scholars track for students.</t>
  </si>
  <si>
    <t xml:space="preserve">2026 offer period ended 2026-03-13.</t>
  </si>
  <si>
    <t xml:space="preserve">Terms not checked against neo.com.</t>
  </si>
  <si>
    <t xml:space="preserve">https://techcrunch.com/2026/02/19/ali-partovis-neo-looks-to-upend-the-accelerator-model-with-low-dilution-terms/</t>
  </si>
  <si>
    <t xml:space="preserve">HF0 Residency</t>
  </si>
  <si>
    <t xml:space="preserve">Residency</t>
  </si>
  <si>
    <t xml:space="preserve">5% on an uncapped SAFE</t>
  </si>
  <si>
    <t xml:space="preserve">Repeat founders or very technical builders who have already shipped.</t>
  </si>
  <si>
    <t xml:space="preserve">12 weeks, live-in. About 10 teams.</t>
  </si>
  <si>
    <t xml:space="preserve">No. Not for first-time founders still exploring.</t>
  </si>
  <si>
    <t xml:space="preserve">Check hf0.com.</t>
  </si>
  <si>
    <t xml:space="preserve">Listed for completeness.</t>
  </si>
  <si>
    <t xml:space="preserve">https://www.sky9capital.com/blog/ai-pre-seed-programs-verified-facts/</t>
  </si>
  <si>
    <t xml:space="preserve">Conviction Embed</t>
  </si>
  <si>
    <t xml:space="preserve">$250K</t>
  </si>
  <si>
    <t xml:space="preserve">Uncapped SAFE with no discount, so the equity depends on the next round</t>
  </si>
  <si>
    <t xml:space="preserve">Pre-seed technical founders building AI products. Solo founders welcome.</t>
  </si>
  <si>
    <t xml:space="preserve">8 weeks, one session a week, one in-person retreat. 10-12 companies.</t>
  </si>
  <si>
    <t xml:space="preserve">Under 1% acceptance. Large cloud and model credits.</t>
  </si>
  <si>
    <t xml:space="preserve">Techstars</t>
  </si>
  <si>
    <t xml:space="preserve">Many cities, plus a remote "Anywhere" program</t>
  </si>
  <si>
    <t xml:space="preserve">Yes. It runs programs in many countries.</t>
  </si>
  <si>
    <t xml:space="preserve">$220K</t>
  </si>
  <si>
    <t xml:space="preserve">5% for $20K, plus a $200K uncapped SAFE</t>
  </si>
  <si>
    <t xml:space="preserve">Early stage.</t>
  </si>
  <si>
    <t xml:space="preserve">About 3 months per program. Many programs a year by city and theme.</t>
  </si>
  <si>
    <t xml:space="preserve">Varies by program.</t>
  </si>
  <si>
    <t xml:space="preserve">Terms date from April 2025.</t>
  </si>
  <si>
    <t xml:space="preserve">https://dabafinance.com/fr/nouvelles/techstars-matches-y-combinator-with-updated-220k-investment-terms</t>
  </si>
  <si>
    <t xml:space="preserve">Google for Startups Accelerator: India</t>
  </si>
  <si>
    <t xml:space="preserve">Equity-free accelerator</t>
  </si>
  <si>
    <t xml:space="preserve">No cash. Mentoring and cloud credits.</t>
  </si>
  <si>
    <t xml:space="preserve">None</t>
  </si>
  <si>
    <t xml:space="preserve">AI-first startups that already have a product. 20 chosen from about 2,500 applications in 2026.</t>
  </si>
  <si>
    <t xml:space="preserve">3 months with a bootcamp at Google Bengaluru.</t>
  </si>
  <si>
    <t xml:space="preserve">2026 cohort announced 2026-07-08.</t>
  </si>
  <si>
    <t xml:space="preserve">A later add-on, not a first cheque.</t>
  </si>
  <si>
    <t xml:space="preserve">https://inc42.com/buzz/meet-the-20-startups-selected-for-googles-india-startup-accelerator-2026/</t>
  </si>
  <si>
    <t xml:space="preserve">FITT, IIT Delhi (with government schemes NIDHI and Startup India Seed Fund)</t>
  </si>
  <si>
    <t xml:space="preserve">University incubator</t>
  </si>
  <si>
    <t xml:space="preserve">New Delhi, India</t>
  </si>
  <si>
    <t xml:space="preserve">Not verified. One aggregator shows ₹25 lakh to ₹1 crore for one FITT program.</t>
  </si>
  <si>
    <t xml:space="preserve">Not verified</t>
  </si>
  <si>
    <t xml:space="preserve">Technology startups, often linked to IIT Delhi.</t>
  </si>
  <si>
    <t xml:space="preserve">Incubation at IIT Delhi.</t>
  </si>
  <si>
    <t xml:space="preserve">Yes. Akshit can ask FITT directly.</t>
  </si>
  <si>
    <t xml:space="preserve">Open question: get exact scheme amounts and eligibility from FITT.</t>
  </si>
  <si>
    <t xml:space="preserve">https://www.startupgrantsindia.com/providers/fitt-iit-delhi/government-funding-schemes-fitt-implements</t>
  </si>
  <si>
    <t xml:space="preserve">Idea in simple words</t>
  </si>
  <si>
    <t xml:space="preserve">Startup</t>
  </si>
  <si>
    <t xml:space="preserve">Funded by</t>
  </si>
  <si>
    <t xml:space="preserve">Batch / cohort</t>
  </si>
  <si>
    <t xml:space="preserve">What the funding number means</t>
  </si>
  <si>
    <t xml:space="preserve">Website</t>
  </si>
  <si>
    <t xml:space="preserve">A customs broker (the firm that clears imported goods at the border) that runs mostly on AI.</t>
  </si>
  <si>
    <t xml:space="preserve">Alchemize</t>
  </si>
  <si>
    <t xml:space="preserve">standard YC deal ($125K for 7% + $375K uncapped SAFE); the startup's own round is not public</t>
  </si>
  <si>
    <t xml:space="preserve">San Francisco, CA, USA</t>
  </si>
  <si>
    <t xml:space="preserve">unknown</t>
  </si>
  <si>
    <t xml:space="preserve">https://tryalchemize.com</t>
  </si>
  <si>
    <t xml:space="preserve">https://www.ycombinator.com/companies/alchemize</t>
  </si>
  <si>
    <t xml:space="preserve">A debt collection company where AI, not call-centre staff, contacts people who owe money.</t>
  </si>
  <si>
    <t xml:space="preserve">Audun</t>
  </si>
  <si>
    <t xml:space="preserve">Oslo, Oslo, Norway</t>
  </si>
  <si>
    <t xml:space="preserve">https://audun.co</t>
  </si>
  <si>
    <t xml:space="preserve">https://www.ycombinator.com/companies/audun</t>
  </si>
  <si>
    <t xml:space="preserve">An accounting firm that does a client's books with AI and wants to undercut the big accounting firms.</t>
  </si>
  <si>
    <t xml:space="preserve">Billow AI Labs</t>
  </si>
  <si>
    <t xml:space="preserve">https://thebillow.ai/</t>
  </si>
  <si>
    <t xml:space="preserve">https://www.ycombinator.com/companies/billow-ai-labs</t>
  </si>
  <si>
    <t xml:space="preserve">An insurance broker for businesses where AI does most of the paperwork a human broker would do.</t>
  </si>
  <si>
    <t xml:space="preserve">Casey</t>
  </si>
  <si>
    <t xml:space="preserve">https://caseyinsure.com/</t>
  </si>
  <si>
    <t xml:space="preserve">https://www.ycombinator.com/companies/casey</t>
  </si>
  <si>
    <t xml:space="preserve">An audit firm that checks a company's financial accounts using AI instead of big teams of junior auditors.</t>
  </si>
  <si>
    <t xml:space="preserve">Denki</t>
  </si>
  <si>
    <t xml:space="preserve">https://denki.ai</t>
  </si>
  <si>
    <t xml:space="preserve">https://www.ycombinator.com/companies/denki</t>
  </si>
  <si>
    <t xml:space="preserve">An insurance company with no human underwriters. AI decides the risk and the price.</t>
  </si>
  <si>
    <t xml:space="preserve">Florin</t>
  </si>
  <si>
    <t xml:space="preserve">reported</t>
  </si>
  <si>
    <t xml:space="preserve">https://florin.inc</t>
  </si>
  <si>
    <t xml:space="preserve">https://www.ycombinator.com/companies/florin</t>
  </si>
  <si>
    <t xml:space="preserve">A law firm for fast-growing startups where AI drafts the legal work and lawyers review it.</t>
  </si>
  <si>
    <t xml:space="preserve">General Legal</t>
  </si>
  <si>
    <t xml:space="preserve">not stated</t>
  </si>
  <si>
    <t xml:space="preserve">https://general.legal</t>
  </si>
  <si>
    <t xml:space="preserve">https://www.ycombinator.com/companies/general-legal</t>
  </si>
  <si>
    <t xml:space="preserve">A firm that runs clinical trials for drug companies and uses AI for the day-to-day trial operations.</t>
  </si>
  <si>
    <t xml:space="preserve">Harbor</t>
  </si>
  <si>
    <t xml:space="preserve">https://runharbor.com/</t>
  </si>
  <si>
    <t xml:space="preserve">https://www.ycombinator.com/companies/runharbor</t>
  </si>
  <si>
    <t xml:space="preserve">An immigration law firm that uses AI to prepare visa applications faster.</t>
  </si>
  <si>
    <t xml:space="preserve">LegalOS</t>
  </si>
  <si>
    <t xml:space="preserve">San Francisco, CA, USA; Remote</t>
  </si>
  <si>
    <t xml:space="preserve">https://www.legalos.ai</t>
  </si>
  <si>
    <t xml:space="preserve">https://www.ycombinator.com/companies/legalos</t>
  </si>
  <si>
    <t xml:space="preserve">An engineering firm that designs data centers and uses AI to do the design work faster.</t>
  </si>
  <si>
    <t xml:space="preserve">Marengo</t>
  </si>
  <si>
    <t xml:space="preserve">https://marengox.com</t>
  </si>
  <si>
    <t xml:space="preserve">https://www.ycombinator.com/companies/marengo</t>
  </si>
  <si>
    <t xml:space="preserve">A freight broker (it matches companies that ship goods with trucks) run by AI.</t>
  </si>
  <si>
    <t xml:space="preserve">Peer</t>
  </si>
  <si>
    <t xml:space="preserve">https://peer-freight.com</t>
  </si>
  <si>
    <t xml:space="preserve">https://www.ycombinator.com/companies/peer</t>
  </si>
  <si>
    <t xml:space="preserve">An outsourcing company that handles a big company's order-to-payment paperwork with AI instead of offshore staff.</t>
  </si>
  <si>
    <t xml:space="preserve">Rex</t>
  </si>
  <si>
    <t xml:space="preserve">https://www.rex.inc</t>
  </si>
  <si>
    <t xml:space="preserve">https://www.ycombinator.com/companies/rex-inc</t>
  </si>
  <si>
    <t xml:space="preserve">Runs health benefits, payroll and compliance for startups for free, and earns from the insurance plans it places.</t>
  </si>
  <si>
    <t xml:space="preserve">Spine</t>
  </si>
  <si>
    <t xml:space="preserve">https://www.joinspine.ai/</t>
  </si>
  <si>
    <t xml:space="preserve">https://www.ycombinator.com/companies/spine</t>
  </si>
  <si>
    <t xml:space="preserve">An online clinic for addiction treatment where AI does much of the clinic's routine work.</t>
  </si>
  <si>
    <t xml:space="preserve">Sunflower</t>
  </si>
  <si>
    <t xml:space="preserve">https://sunflowerclinic.com/</t>
  </si>
  <si>
    <t xml:space="preserve">https://www.ycombinator.com/companies/sunflower</t>
  </si>
  <si>
    <t xml:space="preserve">An outsourcing firm for banks and finance companies where AI agents operate the computer screens instead of people.</t>
  </si>
  <si>
    <t xml:space="preserve">Zomma</t>
  </si>
  <si>
    <t xml:space="preserve">https://zommalabs.com</t>
  </si>
  <si>
    <t xml:space="preserve">https://www.ycombinator.com/companies/zomma</t>
  </si>
  <si>
    <t xml:space="preserve">AI-run home insurance for areas with high climate risk.</t>
  </si>
  <si>
    <t xml:space="preserve">Rhino</t>
  </si>
  <si>
    <t xml:space="preserve">Antler US</t>
  </si>
  <si>
    <t xml:space="preserve">US Spring 2026 Showcase</t>
  </si>
  <si>
    <t xml:space="preserve">not disclosed</t>
  </si>
  <si>
    <t xml:space="preserve">taken from a third-party list that was not verified against Antler</t>
  </si>
  <si>
    <t xml:space="preserve">https://agentjesse.ai/lists/antler-2026-cohort-companies</t>
  </si>
  <si>
    <t xml:space="preserve">A tech-enabled insurance broker for small and mid-sized US businesses.</t>
  </si>
  <si>
    <t xml:space="preserve">Rosella</t>
  </si>
  <si>
    <t xml:space="preserve">Surge 12 (Sep 2026)</t>
  </si>
  <si>
    <t xml:space="preserve">$3.7M</t>
  </si>
  <si>
    <t xml:space="preserve">Surge invests up to $5M per startup; the figure shown is funding as listed by Inc42, the Surge share is not disclosed</t>
  </si>
  <si>
    <t xml:space="preserve">Sydney, Australia</t>
  </si>
  <si>
    <t xml:space="preserve">An AI-built law firm for mergers and commercial real estate deals.</t>
  </si>
  <si>
    <t xml:space="preserve">Athena</t>
  </si>
  <si>
    <t xml:space="preserve">SR007 (Jul-Oct 2026)</t>
  </si>
  <si>
    <t xml:space="preserve">up to $1M</t>
  </si>
  <si>
    <t xml:space="preserve">standard Speedrun deal: $500K for 10% now + $500K in the next round</t>
  </si>
  <si>
    <t xml:space="preserve">not stated (program runs in San Francisco)</t>
  </si>
  <si>
    <t xml:space="preserve">Unknown</t>
  </si>
  <si>
    <t xml:space="preserve">https://www.frontrun.vc/blog/a16z-speedrun-cohort-007-companies/</t>
  </si>
  <si>
    <t xml:space="preserve">Turns the text-message orders that food distributors get into entries in their order system automatically.</t>
  </si>
  <si>
    <t xml:space="preserve">Asakana</t>
  </si>
  <si>
    <t xml:space="preserve">https://www.asakana.co/</t>
  </si>
  <si>
    <t xml:space="preserve">https://www.ycombinator.com/companies/asakana</t>
  </si>
  <si>
    <t xml:space="preserve">AI employees that take calls, book visits and send technicians for appliance repair companies.</t>
  </si>
  <si>
    <t xml:space="preserve">Bernard</t>
  </si>
  <si>
    <t xml:space="preserve">New York City, NY, USA</t>
  </si>
  <si>
    <t xml:space="preserve">https://bernardhq.com/</t>
  </si>
  <si>
    <t xml:space="preserve">https://www.ycombinator.com/companies/bernard</t>
  </si>
  <si>
    <t xml:space="preserve">AI that reads building drawings and counts the materials, so electrical contractors can price a job quickly.</t>
  </si>
  <si>
    <t xml:space="preserve">Bidflow</t>
  </si>
  <si>
    <t xml:space="preserve">https://usebidflow.com</t>
  </si>
  <si>
    <t xml:space="preserve">https://www.ycombinator.com/companies/bidflow</t>
  </si>
  <si>
    <t xml:space="preserve">An AI property manager that handles tenants and maintenance for landlords.</t>
  </si>
  <si>
    <t xml:space="preserve">Brickwise</t>
  </si>
  <si>
    <t xml:space="preserve">London, England, United Kingdom</t>
  </si>
  <si>
    <t xml:space="preserve">https://www.brickwiseai.com</t>
  </si>
  <si>
    <t xml:space="preserve">https://www.ycombinator.com/companies/brickwise</t>
  </si>
  <si>
    <t xml:space="preserve">AI that answers booking calls and emails for hotel groups.</t>
  </si>
  <si>
    <t xml:space="preserve">Codyco</t>
  </si>
  <si>
    <t xml:space="preserve">BY, Germany</t>
  </si>
  <si>
    <t xml:space="preserve">https://www.codyco.ai/en</t>
  </si>
  <si>
    <t xml:space="preserve">https://www.ycombinator.com/companies/codyco</t>
  </si>
  <si>
    <t xml:space="preserve">AI that plans the daily schedule for short-distance trucks.</t>
  </si>
  <si>
    <t xml:space="preserve">Dayjob</t>
  </si>
  <si>
    <t xml:space="preserve">https://www.getdayjob.ai</t>
  </si>
  <si>
    <t xml:space="preserve">https://www.ycombinator.com/companies/dayjob</t>
  </si>
  <si>
    <t xml:space="preserve">AI that takes table reservations for restaurants by phone and chat.</t>
  </si>
  <si>
    <t xml:space="preserve">Elyra</t>
  </si>
  <si>
    <t xml:space="preserve">Stockholm, Stockholm County, Sweden</t>
  </si>
  <si>
    <t xml:space="preserve">https://www.elyrasystems.com/</t>
  </si>
  <si>
    <t xml:space="preserve">https://www.ycombinator.com/companies/elyra</t>
  </si>
  <si>
    <t xml:space="preserve">One system with AI that runs a restaurant's kitchen-side admin: ordering stock, tracking inventory, cutting waste.</t>
  </si>
  <si>
    <t xml:space="preserve">Marble</t>
  </si>
  <si>
    <t xml:space="preserve">https://joinmarble.ai/</t>
  </si>
  <si>
    <t xml:space="preserve">https://www.ycombinator.com/companies/joinmarble</t>
  </si>
  <si>
    <t xml:space="preserve">AI software that runs the paperwork and deals of real-estate brokerages.</t>
  </si>
  <si>
    <t xml:space="preserve">RealPact</t>
  </si>
  <si>
    <t xml:space="preserve">https://realpact.ai</t>
  </si>
  <si>
    <t xml:space="preserve">https://www.ycombinator.com/companies/realpact</t>
  </si>
  <si>
    <t xml:space="preserve">AI agents that answer calls and win more jobs for home-service businesses such as plumbers and electricians.</t>
  </si>
  <si>
    <t xml:space="preserve">Robby</t>
  </si>
  <si>
    <t xml:space="preserve">https://tryrobby.com</t>
  </si>
  <si>
    <t xml:space="preserve">https://www.ycombinator.com/companies/robby</t>
  </si>
  <si>
    <t xml:space="preserve">Uses a restaurant's existing CCTV cameras to watch operations and alert managers in real time.</t>
  </si>
  <si>
    <t xml:space="preserve">Shire Intelligence</t>
  </si>
  <si>
    <t xml:space="preserve">Myrtle Beach, SC, USA</t>
  </si>
  <si>
    <t xml:space="preserve">https://shireintelligence.com/</t>
  </si>
  <si>
    <t xml:space="preserve">https://www.ycombinator.com/companies/shire-intelligence</t>
  </si>
  <si>
    <t xml:space="preserve">AI software that runs daily operations for wholesale distributors.</t>
  </si>
  <si>
    <t xml:space="preserve">Whitespace</t>
  </si>
  <si>
    <t xml:space="preserve">https://whitespacehq.ai/</t>
  </si>
  <si>
    <t xml:space="preserve">https://www.ycombinator.com/companies/whitespace</t>
  </si>
  <si>
    <t xml:space="preserve">An electric-vehicle fleet platform for ride-hailing drivers.</t>
  </si>
  <si>
    <t xml:space="preserve">Milo Drive</t>
  </si>
  <si>
    <t xml:space="preserve">Portfolio shown on antler.co/india (read 2026-10-13)</t>
  </si>
  <si>
    <t xml:space="preserve">up to ₹4 crore (~$425K-$470K)</t>
  </si>
  <si>
    <t xml:space="preserve">standard Antler India deal for 11%; amount per startup not disclosed</t>
  </si>
  <si>
    <t xml:space="preserve">yes</t>
  </si>
  <si>
    <t xml:space="preserve">A marketplace that connects kirana stores with nearby distributors for same-day delivery.</t>
  </si>
  <si>
    <t xml:space="preserve">Tradeface</t>
  </si>
  <si>
    <t xml:space="preserve">An AI voice agent that answers hotel calls and turns them into bookings.</t>
  </si>
  <si>
    <t xml:space="preserve">withQ</t>
  </si>
  <si>
    <t xml:space="preserve">An AI employee that does property management work.</t>
  </si>
  <si>
    <t xml:space="preserve">Alven</t>
  </si>
  <si>
    <t xml:space="preserve">AI agents for companies that handle hazardous waste.</t>
  </si>
  <si>
    <t xml:space="preserve">Colmez</t>
  </si>
  <si>
    <t xml:space="preserve">AI software for the daily work of freight forwarders.</t>
  </si>
  <si>
    <t xml:space="preserve">Nimble</t>
  </si>
  <si>
    <t xml:space="preserve">AI that does the pre-construction and land-buying work for home builders.</t>
  </si>
  <si>
    <t xml:space="preserve">Parca</t>
  </si>
  <si>
    <t xml:space="preserve">An operating system for freight forwarders.</t>
  </si>
  <si>
    <t xml:space="preserve">Rumbo</t>
  </si>
  <si>
    <t xml:space="preserve">AI crews for messy supply-chain operations.</t>
  </si>
  <si>
    <t xml:space="preserve">Sotant</t>
  </si>
  <si>
    <t xml:space="preserve">AI employees that chase unpaid customer invoices for a company's finance team.</t>
  </si>
  <si>
    <t xml:space="preserve">Alder</t>
  </si>
  <si>
    <t xml:space="preserve">https://meetalder.com/</t>
  </si>
  <si>
    <t xml:space="preserve">https://www.ycombinator.com/companies/alder</t>
  </si>
  <si>
    <t xml:space="preserve">AI clerks that process the bills a company has to pay.</t>
  </si>
  <si>
    <t xml:space="preserve">Clerked</t>
  </si>
  <si>
    <t xml:space="preserve">https://clerked.ai</t>
  </si>
  <si>
    <t xml:space="preserve">https://www.ycombinator.com/companies/clerked</t>
  </si>
  <si>
    <t xml:space="preserve">AI that processes home-loan applications from start to finish.</t>
  </si>
  <si>
    <t xml:space="preserve">Copperlane</t>
  </si>
  <si>
    <t xml:space="preserve">https://www.copperlane.ai</t>
  </si>
  <si>
    <t xml:space="preserve">https://www.ycombinator.com/companies/copperlane</t>
  </si>
  <si>
    <t xml:space="preserve">AI that prepares tax returns and does bookkeeping for accounting firms.</t>
  </si>
  <si>
    <t xml:space="preserve">Cranston AI</t>
  </si>
  <si>
    <t xml:space="preserve">https://www.cranston.ai</t>
  </si>
  <si>
    <t xml:space="preserve">https://www.ycombinator.com/companies/cranston-ai</t>
  </si>
  <si>
    <t xml:space="preserve">An AI assistant inside Excel for finance analysts who build heavy spreadsheets.</t>
  </si>
  <si>
    <t xml:space="preserve">Crunched</t>
  </si>
  <si>
    <t xml:space="preserve">https://usecrunched.com/</t>
  </si>
  <si>
    <t xml:space="preserve">https://www.ycombinator.com/companies/crunched</t>
  </si>
  <si>
    <t xml:space="preserve">AI that matches payment records for companies that process a very large number of payments.</t>
  </si>
  <si>
    <t xml:space="preserve">End Close</t>
  </si>
  <si>
    <t xml:space="preserve">https://endclose.com</t>
  </si>
  <si>
    <t xml:space="preserve">https://www.ycombinator.com/companies/end-close</t>
  </si>
  <si>
    <t xml:space="preserve">AI that investigates insurance claims to catch fraud and errors.</t>
  </si>
  <si>
    <t xml:space="preserve">Hesper AI</t>
  </si>
  <si>
    <t xml:space="preserve">https://gethesperai.com</t>
  </si>
  <si>
    <t xml:space="preserve">https://www.ycombinator.com/companies/hesper-ai</t>
  </si>
  <si>
    <t xml:space="preserve">Reads a borrower's documents (bank statements, bills, e-wallet records) so lenders in emerging markets can approve loans in minutes.</t>
  </si>
  <si>
    <t xml:space="preserve">Kita</t>
  </si>
  <si>
    <t xml:space="preserve">https://www.kita.ai/</t>
  </si>
  <si>
    <t xml:space="preserve">https://www.ycombinator.com/companies/kita</t>
  </si>
  <si>
    <t xml:space="preserve">An AI platform that credit funds use to analyse and track loans. Reports about $1B of receivables on the platform.</t>
  </si>
  <si>
    <t xml:space="preserve">Levocred AI</t>
  </si>
  <si>
    <t xml:space="preserve">https://levocred.com/</t>
  </si>
  <si>
    <t xml:space="preserve">https://www.ycombinator.com/companies/levocred-ai</t>
  </si>
  <si>
    <t xml:space="preserve">AI that does the checking work of a company's internal audit team.</t>
  </si>
  <si>
    <t xml:space="preserve">Oxus</t>
  </si>
  <si>
    <t xml:space="preserve">https://oxus-ai.com/</t>
  </si>
  <si>
    <t xml:space="preserve">https://www.ycombinator.com/companies/oxus</t>
  </si>
  <si>
    <t xml:space="preserve">AI that does the back-office work of banks and fintech companies.</t>
  </si>
  <si>
    <t xml:space="preserve">Rapidfolio</t>
  </si>
  <si>
    <t xml:space="preserve">https://rapidfolio.com/</t>
  </si>
  <si>
    <t xml:space="preserve">https://www.ycombinator.com/companies/rapidfolio</t>
  </si>
  <si>
    <t xml:space="preserve">AI junior analysts for private equity firms that buy mid-sized companies.</t>
  </si>
  <si>
    <t xml:space="preserve">Zarna</t>
  </si>
  <si>
    <t xml:space="preserve">https://www.zarnaai.com/</t>
  </si>
  <si>
    <t xml:space="preserve">https://www.ycombinator.com/companies/zarna</t>
  </si>
  <si>
    <t xml:space="preserve">AI that helps property insurers assess risk.</t>
  </si>
  <si>
    <t xml:space="preserve">VelociSure</t>
  </si>
  <si>
    <t xml:space="preserve">AI that does due-diligence and financial research for companies and investors.</t>
  </si>
  <si>
    <t xml:space="preserve">Binocs</t>
  </si>
  <si>
    <t xml:space="preserve">2026 cohort (announced 2026-07-08)</t>
  </si>
  <si>
    <t xml:space="preserve">no cash</t>
  </si>
  <si>
    <t xml:space="preserve">equity-free 3-month program with mentoring and credits; most companies here already have a product and earlier funding</t>
  </si>
  <si>
    <t xml:space="preserve">AI agents that do compliance, risk and audit work for financial institutions.</t>
  </si>
  <si>
    <t xml:space="preserve">OnFinanceAI</t>
  </si>
  <si>
    <t xml:space="preserve">Tools that verify identity and income and automate onboarding checks.</t>
  </si>
  <si>
    <t xml:space="preserve">TartanHQ</t>
  </si>
  <si>
    <t xml:space="preserve">Delhi NCR, India</t>
  </si>
  <si>
    <t xml:space="preserve">Loan processing for commercial real estate that runs by itself.</t>
  </si>
  <si>
    <t xml:space="preserve">Corlen</t>
  </si>
  <si>
    <t xml:space="preserve">Turns unpaid customer invoices into cash for service businesses.</t>
  </si>
  <si>
    <t xml:space="preserve">Ontem</t>
  </si>
  <si>
    <t xml:space="preserve">Small MRI machines that fit on a truck, so mobile clinics can offer cancer screening for about $250 a scan.</t>
  </si>
  <si>
    <t xml:space="preserve">Adialante</t>
  </si>
  <si>
    <t xml:space="preserve">http://www.adialante.com</t>
  </si>
  <si>
    <t xml:space="preserve">https://www.ycombinator.com/companies/adialante</t>
  </si>
  <si>
    <t xml:space="preserve">Automates how health insurance companies process claims.</t>
  </si>
  <si>
    <t xml:space="preserve">Amera</t>
  </si>
  <si>
    <t xml:space="preserve">https://amerahealthsolutions.com/</t>
  </si>
  <si>
    <t xml:space="preserve">https://www.ycombinator.com/companies/amera</t>
  </si>
  <si>
    <t xml:space="preserve">Software that helps nursing homes track and understand their residents' clinical condition.</t>
  </si>
  <si>
    <t xml:space="preserve">Ascenix</t>
  </si>
  <si>
    <t xml:space="preserve">Toronto, ON, Canada</t>
  </si>
  <si>
    <t xml:space="preserve">https://www.ascenix.co/</t>
  </si>
  <si>
    <t xml:space="preserve">https://www.ycombinator.com/companies/ascenix</t>
  </si>
  <si>
    <t xml:space="preserve">AI that fills in insurance pre-approval requests for small medical practices.</t>
  </si>
  <si>
    <t xml:space="preserve">ClaimGlide</t>
  </si>
  <si>
    <t xml:space="preserve">Seattle, WA, USA</t>
  </si>
  <si>
    <t xml:space="preserve">https://claimglide.com/</t>
  </si>
  <si>
    <t xml:space="preserve">https://www.ycombinator.com/companies/claimglide</t>
  </si>
  <si>
    <t xml:space="preserve">AI voice agents that answer every patient call for a clinic and finish the task (booking, refills, billing) in the clinic's records system.</t>
  </si>
  <si>
    <t xml:space="preserve">Elite</t>
  </si>
  <si>
    <t xml:space="preserve">https://elitehq.ai/</t>
  </si>
  <si>
    <t xml:space="preserve">https://www.ycombinator.com/companies/elite</t>
  </si>
  <si>
    <t xml:space="preserve">AI search over medical records. Reports seven-figure revenue in its first year.</t>
  </si>
  <si>
    <t xml:space="preserve">Hubble</t>
  </si>
  <si>
    <t xml:space="preserve">https://hubble.ai/</t>
  </si>
  <si>
    <t xml:space="preserve">https://www.ycombinator.com/companies/hubble-ai</t>
  </si>
  <si>
    <t xml:space="preserve">A cheap 3D ultrasound device that people without specialist training can use.</t>
  </si>
  <si>
    <t xml:space="preserve">Lumius</t>
  </si>
  <si>
    <t xml:space="preserve">Durham, NC, USA</t>
  </si>
  <si>
    <t xml:space="preserve">https://www.lumius-imaging.com</t>
  </si>
  <si>
    <t xml:space="preserve">https://www.ycombinator.com/companies/lumius</t>
  </si>
  <si>
    <t xml:space="preserve">AI that phones insurance companies on behalf of hospital billing teams.</t>
  </si>
  <si>
    <t xml:space="preserve">LunaBill</t>
  </si>
  <si>
    <t xml:space="preserve">https://lunabill.com/</t>
  </si>
  <si>
    <t xml:space="preserve">https://www.ycombinator.com/companies/lunabill</t>
  </si>
  <si>
    <t xml:space="preserve">An AI receptionist and back office for dental clinics.</t>
  </si>
  <si>
    <t xml:space="preserve">Patientdesk.ai</t>
  </si>
  <si>
    <t xml:space="preserve">https://patientdesk.ai/</t>
  </si>
  <si>
    <t xml:space="preserve">https://www.ycombinator.com/companies/patientdeskai</t>
  </si>
  <si>
    <t xml:space="preserve">An AI primary-care doctor in a phone app.</t>
  </si>
  <si>
    <t xml:space="preserve">Prana</t>
  </si>
  <si>
    <t xml:space="preserve">https://pranadoc.com</t>
  </si>
  <si>
    <t xml:space="preserve">https://www.ycombinator.com/companies/prana-health</t>
  </si>
  <si>
    <t xml:space="preserve">AI agents that handle calls and routine work for pharmacies.</t>
  </si>
  <si>
    <t xml:space="preserve">Remedy</t>
  </si>
  <si>
    <t xml:space="preserve">http://www.useremedy.co</t>
  </si>
  <si>
    <t xml:space="preserve">https://www.ycombinator.com/companies/remedy</t>
  </si>
  <si>
    <t xml:space="preserve">A very early test for signs of Alzheimer's disease.</t>
  </si>
  <si>
    <t xml:space="preserve">Saccade</t>
  </si>
  <si>
    <t xml:space="preserve">https://saccade.health</t>
  </si>
  <si>
    <t xml:space="preserve">https://www.ycombinator.com/companies/saccade</t>
  </si>
  <si>
    <t xml:space="preserve">Patient-record software with AI for medical spas and wellness clinics.</t>
  </si>
  <si>
    <t xml:space="preserve">Tepali</t>
  </si>
  <si>
    <t xml:space="preserve">https://tepali.com</t>
  </si>
  <si>
    <t xml:space="preserve">https://www.ycombinator.com/companies/tepali</t>
  </si>
  <si>
    <t xml:space="preserve">Helps dental practices bring back patients who still need treatment.</t>
  </si>
  <si>
    <t xml:space="preserve">Healink</t>
  </si>
  <si>
    <t xml:space="preserve">A smartphone-based system that detects eye damage from high blood pressure; used in 18+ Indian villages.</t>
  </si>
  <si>
    <t xml:space="preserve">Hypertensight</t>
  </si>
  <si>
    <t xml:space="preserve">2026 cohorts 16-19</t>
  </si>
  <si>
    <t xml:space="preserve">grant to an individual or project; amounts are not published</t>
  </si>
  <si>
    <t xml:space="preserve">Links ordinary eye photos with retinal scans to diagnose eye disease.</t>
  </si>
  <si>
    <t xml:space="preserve">Project Lumen AI</t>
  </si>
  <si>
    <t xml:space="preserve">https://marginalrevolution.com/marginalrevolution/2026/08/emergent-ventures-india-18th-cohort.html</t>
  </si>
  <si>
    <t xml:space="preserve">AI tools for radiology: faster MRI scans and disease detection for hospitals.</t>
  </si>
  <si>
    <t xml:space="preserve">Aikenist</t>
  </si>
  <si>
    <t xml:space="preserve">An app that uses AI to deliver therapy programs for chronic back and joint pain.</t>
  </si>
  <si>
    <t xml:space="preserve">FlexifyMe</t>
  </si>
  <si>
    <t xml:space="preserve">Pune, India</t>
  </si>
  <si>
    <t xml:space="preserve">An AI health assistant that explains symptoms, lab reports and prescriptions.</t>
  </si>
  <si>
    <t xml:space="preserve">August AI</t>
  </si>
  <si>
    <t xml:space="preserve">$3M</t>
  </si>
  <si>
    <t xml:space="preserve">Clinics for children's healthcare: consultations, vaccines and therapies.</t>
  </si>
  <si>
    <t xml:space="preserve">Hoola Health</t>
  </si>
  <si>
    <t xml:space="preserve">$5M</t>
  </si>
  <si>
    <t xml:space="preserve">A low-cost, needle-free test to screen for oral cancer in places with few doctors.</t>
  </si>
  <si>
    <t xml:space="preserve">Astraeus Innovus</t>
  </si>
  <si>
    <t xml:space="preserve">Cohort 3, Class of 2026</t>
  </si>
  <si>
    <t xml:space="preserve">grant, no equity taken</t>
  </si>
  <si>
    <t xml:space="preserve">India (city not stated)</t>
  </si>
  <si>
    <t xml:space="preserve">Affordable portable robots that help stroke patients do rehab exercises at home.</t>
  </si>
  <si>
    <t xml:space="preserve">Bloom Rehab</t>
  </si>
  <si>
    <t xml:space="preserve">An AI device that attaches to a microscope to digitise and analyse pathology slides.</t>
  </si>
  <si>
    <t xml:space="preserve">Turocrates AI</t>
  </si>
  <si>
    <t xml:space="preserve">An AI clinician based on functional medicine.</t>
  </si>
  <si>
    <t xml:space="preserve">Coherence Health</t>
  </si>
  <si>
    <t xml:space="preserve">AI that handles intake calls and preventive care for Medicare clinics.</t>
  </si>
  <si>
    <t xml:space="preserve">Rhema Health</t>
  </si>
  <si>
    <t xml:space="preserve">An AI advocate for people with chronic illness.</t>
  </si>
  <si>
    <t xml:space="preserve">Vene Health</t>
  </si>
  <si>
    <t xml:space="preserve">Organises everything a company knows in one place for people and AI.</t>
  </si>
  <si>
    <t xml:space="preserve">Almanac</t>
  </si>
  <si>
    <t xml:space="preserve">https://usealmanac.com</t>
  </si>
  <si>
    <t xml:space="preserve">https://www.ycombinator.com/companies/almanac</t>
  </si>
  <si>
    <t xml:space="preserve">AI agents that small businesses (law firms, clinics, real-estate offices) hire to do work they could never afford staff for.</t>
  </si>
  <si>
    <t xml:space="preserve">Async</t>
  </si>
  <si>
    <t xml:space="preserve">https://withasync.com</t>
  </si>
  <si>
    <t xml:space="preserve">https://www.ycombinator.com/companies/withasync</t>
  </si>
  <si>
    <t xml:space="preserve">AI customer support for very large companies.</t>
  </si>
  <si>
    <t xml:space="preserve">Cignara</t>
  </si>
  <si>
    <t xml:space="preserve">https://cignara.com/</t>
  </si>
  <si>
    <t xml:space="preserve">https://www.ycombinator.com/companies/cignara</t>
  </si>
  <si>
    <t xml:space="preserve">A customer contact centre run by AI.</t>
  </si>
  <si>
    <t xml:space="preserve">Dialogus</t>
  </si>
  <si>
    <t xml:space="preserve">https://www.dialoguslabs.com/</t>
  </si>
  <si>
    <t xml:space="preserve">https://www.ycombinator.com/companies/dialogus</t>
  </si>
  <si>
    <t xml:space="preserve">A shared workspace where a team of AI agents work together like a department, with humans supervising.</t>
  </si>
  <si>
    <t xml:space="preserve">Dock</t>
  </si>
  <si>
    <t xml:space="preserve">https://trydock.ai</t>
  </si>
  <si>
    <t xml:space="preserve">https://www.ycombinator.com/companies/dock</t>
  </si>
  <si>
    <t xml:space="preserve">A "company brain": it connects all of a company's documents and chats so AI assistants can answer using what the company knows.</t>
  </si>
  <si>
    <t xml:space="preserve">Hyperspell</t>
  </si>
  <si>
    <t xml:space="preserve">https://hyperspell.com</t>
  </si>
  <si>
    <t xml:space="preserve">https://www.ycombinator.com/companies/hyperspell</t>
  </si>
  <si>
    <t xml:space="preserve">Lets non-technical teams build their own AI agents without engineers.</t>
  </si>
  <si>
    <t xml:space="preserve">Nexus</t>
  </si>
  <si>
    <t xml:space="preserve">Brussels, Brussels, Belgium</t>
  </si>
  <si>
    <t xml:space="preserve">https://agent.nexus</t>
  </si>
  <si>
    <t xml:space="preserve">https://www.ycombinator.com/companies/gpt</t>
  </si>
  <si>
    <t xml:space="preserve">AI that interviews every employee about how they work, so the company's AI tools have the missing context.</t>
  </si>
  <si>
    <t xml:space="preserve">Ontora</t>
  </si>
  <si>
    <t xml:space="preserve">Berlin, Berlin, Germany</t>
  </si>
  <si>
    <t xml:space="preserve">https://ontora.com</t>
  </si>
  <si>
    <t xml:space="preserve">https://www.ycombinator.com/companies/ontora</t>
  </si>
  <si>
    <t xml:space="preserve">An always-on AI "operations brain" that takes over complex day-to-day operations for a company.</t>
  </si>
  <si>
    <t xml:space="preserve">Redapto</t>
  </si>
  <si>
    <t xml:space="preserve">Bengaluru, KA, India</t>
  </si>
  <si>
    <t xml:space="preserve">https://www.redapto.com/</t>
  </si>
  <si>
    <t xml:space="preserve">https://www.ycombinator.com/companies/redapto</t>
  </si>
  <si>
    <t xml:space="preserve">Records the computer work employees do and turns it into AI agents that can repeat that work.</t>
  </si>
  <si>
    <t xml:space="preserve">screenpipe</t>
  </si>
  <si>
    <t xml:space="preserve">https://screenpipe.com</t>
  </si>
  <si>
    <t xml:space="preserve">https://www.ycombinator.com/companies/screenpipe</t>
  </si>
  <si>
    <t xml:space="preserve">An AI agent that connects to your work apps and keeps doing tasks from plain-English instructions.</t>
  </si>
  <si>
    <t xml:space="preserve">Tasklet</t>
  </si>
  <si>
    <t xml:space="preserve">https://tasklet.ai</t>
  </si>
  <si>
    <t xml:space="preserve">https://www.ycombinator.com/companies/tasklet-2</t>
  </si>
  <si>
    <t xml:space="preserve">An "AI founder": a virtual person that starts and runs its own internet businesses.</t>
  </si>
  <si>
    <t xml:space="preserve">Thomas</t>
  </si>
  <si>
    <t xml:space="preserve">https://madebythomas.ai</t>
  </si>
  <si>
    <t xml:space="preserve">https://www.ycombinator.com/companies/thomas</t>
  </si>
  <si>
    <t xml:space="preserve">Sets up custom AI agents inside a company's ERP (its core business software).</t>
  </si>
  <si>
    <t xml:space="preserve">Trope</t>
  </si>
  <si>
    <t xml:space="preserve">https://trope.ai</t>
  </si>
  <si>
    <t xml:space="preserve">https://www.ycombinator.com/companies/trope</t>
  </si>
  <si>
    <t xml:space="preserve">AI agents that modernise ERP systems (a company's core business software), starting with SAP. Also backed by Antler India.</t>
  </si>
  <si>
    <t xml:space="preserve">Dodge.ai</t>
  </si>
  <si>
    <t xml:space="preserve">Accel Atoms + Google AI Futures Fund</t>
  </si>
  <si>
    <t xml:space="preserve">Atoms AI Cohort 2026 (Mar-Jun 2026)</t>
  </si>
  <si>
    <t xml:space="preserve">up to $2M</t>
  </si>
  <si>
    <t xml:space="preserve">co-investment by Accel and Google AI Futures Fund, plus up to $350K compute credits; per-startup amount not disclosed</t>
  </si>
  <si>
    <t xml:space="preserve">not stated (program is for Indian and Indian-origin founders anywhere)</t>
  </si>
  <si>
    <t xml:space="preserve">AI agents that keep a team aligned on company goals.</t>
  </si>
  <si>
    <t xml:space="preserve">Alia</t>
  </si>
  <si>
    <t xml:space="preserve">A virtual chief AI officer that is judged on profit and loss.</t>
  </si>
  <si>
    <t xml:space="preserve">Codos</t>
  </si>
  <si>
    <t xml:space="preserve">Learns how work gets done in a company and suggests what to automate.</t>
  </si>
  <si>
    <t xml:space="preserve">Infragrid</t>
  </si>
  <si>
    <t xml:space="preserve">Dictation that runs on the device, for teams that will not send audio to the cloud.</t>
  </si>
  <si>
    <t xml:space="preserve">OpenWhispr</t>
  </si>
  <si>
    <t xml:space="preserve">AI that learns how a company's employees work and completes business tasks, starting with mergers.</t>
  </si>
  <si>
    <t xml:space="preserve">Phyvant</t>
  </si>
  <si>
    <t xml:space="preserve">AI on your own device that watches screen workflows and learns to do them.</t>
  </si>
  <si>
    <t xml:space="preserve">Sonder</t>
  </si>
  <si>
    <t xml:space="preserve">Helps a software product get chosen when AI coding assistants pick tools.</t>
  </si>
  <si>
    <t xml:space="preserve">Armature</t>
  </si>
  <si>
    <t xml:space="preserve">Paris, Île-de-France, France</t>
  </si>
  <si>
    <t xml:space="preserve">https://armature.tech</t>
  </si>
  <si>
    <t xml:space="preserve">https://www.ycombinator.com/companies/armature</t>
  </si>
  <si>
    <t xml:space="preserve">Listens to a sales call live and tells the salesperson what to say next.</t>
  </si>
  <si>
    <t xml:space="preserve">Caretta</t>
  </si>
  <si>
    <t xml:space="preserve">https://www.caretta.so</t>
  </si>
  <si>
    <t xml:space="preserve">https://www.ycombinator.com/companies/caretta</t>
  </si>
  <si>
    <t xml:space="preserve">Tells sales teams exactly when a target company is ready to buy.</t>
  </si>
  <si>
    <t xml:space="preserve">Clean</t>
  </si>
  <si>
    <t xml:space="preserve">http://www.tryclean.ai</t>
  </si>
  <si>
    <t xml:space="preserve">https://www.ycombinator.com/companies/clean</t>
  </si>
  <si>
    <t xml:space="preserve">An AI sales agent for packaged consumer goods brands.</t>
  </si>
  <si>
    <t xml:space="preserve">Corvera</t>
  </si>
  <si>
    <t xml:space="preserve">https://corvera.ai/</t>
  </si>
  <si>
    <t xml:space="preserve">https://www.ycombinator.com/companies/corvera</t>
  </si>
  <si>
    <t xml:space="preserve">Simulated shoppers that packaged-goods brands can test new products on, instead of running surveys.</t>
  </si>
  <si>
    <t xml:space="preserve">Foresight</t>
  </si>
  <si>
    <t xml:space="preserve">https://foresight.tt/</t>
  </si>
  <si>
    <t xml:space="preserve">https://www.ycombinator.com/companies/foresight</t>
  </si>
  <si>
    <t xml:space="preserve">AI that creates ads and runs the ad campaigns from start to finish.</t>
  </si>
  <si>
    <t xml:space="preserve">Lapis</t>
  </si>
  <si>
    <t xml:space="preserve">https://www.trylapis.com/</t>
  </si>
  <si>
    <t xml:space="preserve">https://www.ycombinator.com/companies/lapis</t>
  </si>
  <si>
    <t xml:space="preserve">A free, open-source alternative to paid SEO tools such as Semrush and Ahrefs.</t>
  </si>
  <si>
    <t xml:space="preserve">OpenSEO</t>
  </si>
  <si>
    <t xml:space="preserve">Boston, MA, USA</t>
  </si>
  <si>
    <t xml:space="preserve">https://openseo.so/</t>
  </si>
  <si>
    <t xml:space="preserve">https://www.ycombinator.com/companies/openseo</t>
  </si>
  <si>
    <t xml:space="preserve">Builds and runs a company's website, landing pages and marketing automatically.</t>
  </si>
  <si>
    <t xml:space="preserve">Ploy</t>
  </si>
  <si>
    <t xml:space="preserve">$27M</t>
  </si>
  <si>
    <t xml:space="preserve">seed round led by First Round and YC (TechCrunch, 2026-06-18)</t>
  </si>
  <si>
    <t xml:space="preserve">https://ploy.ai</t>
  </si>
  <si>
    <t xml:space="preserve">https://www.ycombinator.com/companies/ploy ; https://techcrunch.com/2026/06/18/the-11-standout-startups-from-ycs-demo-day-according-to-vcs/</t>
  </si>
  <si>
    <t xml:space="preserve">Lets online brands sell to customers again through iMessage.</t>
  </si>
  <si>
    <t xml:space="preserve">Signals</t>
  </si>
  <si>
    <t xml:space="preserve">https://www.returnsignals.com</t>
  </si>
  <si>
    <t xml:space="preserve">https://www.ycombinator.com/companies/signals</t>
  </si>
  <si>
    <t xml:space="preserve">Connects local businesses with local content creators.</t>
  </si>
  <si>
    <t xml:space="preserve">TryNearby</t>
  </si>
  <si>
    <t xml:space="preserve">Los Angeles, CA, USA</t>
  </si>
  <si>
    <t xml:space="preserve">https://trynearby.com</t>
  </si>
  <si>
    <t xml:space="preserve">https://www.ycombinator.com/companies/trynearby</t>
  </si>
  <si>
    <t xml:space="preserve">AI that replaces a marketing agency.</t>
  </si>
  <si>
    <t xml:space="preserve">Uplane</t>
  </si>
  <si>
    <t xml:space="preserve">https://uplane.com</t>
  </si>
  <si>
    <t xml:space="preserve">https://www.ycombinator.com/companies/uplane</t>
  </si>
  <si>
    <t xml:space="preserve">Finds and warms up likely customers before the sales team reaches out.</t>
  </si>
  <si>
    <t xml:space="preserve">Kindling</t>
  </si>
  <si>
    <t xml:space="preserve">An AI general manager for consumer brands.</t>
  </si>
  <si>
    <t xml:space="preserve">Baro</t>
  </si>
  <si>
    <t xml:space="preserve">Infrastructure for AI sales and marketing agents.</t>
  </si>
  <si>
    <t xml:space="preserve">Cluster</t>
  </si>
  <si>
    <t xml:space="preserve">AI that lets a growth team ship more experiments.</t>
  </si>
  <si>
    <t xml:space="preserve">Lazyweb</t>
  </si>
  <si>
    <t xml:space="preserve">Infrastructure for AI revenue agents.</t>
  </si>
  <si>
    <t xml:space="preserve">Nexor AI</t>
  </si>
  <si>
    <t xml:space="preserve">Coaches salespeople live during B2B sales calls.</t>
  </si>
  <si>
    <t xml:space="preserve">Othello</t>
  </si>
  <si>
    <t xml:space="preserve">Models of human behaviour that preview how people will react before a launch.</t>
  </si>
  <si>
    <t xml:space="preserve">Primitive Labs</t>
  </si>
  <si>
    <t xml:space="preserve">AI agents that talk to each customer one by one in the brand's voice.</t>
  </si>
  <si>
    <t xml:space="preserve">Saru</t>
  </si>
  <si>
    <t xml:space="preserve">A data layer for AI revenue agents that work on long tasks.</t>
  </si>
  <si>
    <t xml:space="preserve">Sterling</t>
  </si>
  <si>
    <t xml:space="preserve">AI recruiters that staffing agencies use to find and screen candidates.</t>
  </si>
  <si>
    <t xml:space="preserve">Asendia AI</t>
  </si>
  <si>
    <t xml:space="preserve">https://asendia.ai/</t>
  </si>
  <si>
    <t xml:space="preserve">https://www.ycombinator.com/companies/asendia-ai</t>
  </si>
  <si>
    <t xml:space="preserve">Tests that measure how capable a person really is, starting with software engineers. Reports about $60K yearly revenue.</t>
  </si>
  <si>
    <t xml:space="preserve">Litmus</t>
  </si>
  <si>
    <t xml:space="preserve">https://litmushiring.com/</t>
  </si>
  <si>
    <t xml:space="preserve">https://www.ycombinator.com/companies/litmus-hiring</t>
  </si>
  <si>
    <t xml:space="preserve">A recruiting agency where AI does the sourcing and screening.</t>
  </si>
  <si>
    <t xml:space="preserve">Prism</t>
  </si>
  <si>
    <t xml:space="preserve">https://tryprism.com/</t>
  </si>
  <si>
    <t xml:space="preserve">https://www.ycombinator.com/companies/tryprism</t>
  </si>
  <si>
    <t xml:space="preserve">A swipe-to-apply job app, like Tinder for jobs.</t>
  </si>
  <si>
    <t xml:space="preserve">Sorce</t>
  </si>
  <si>
    <t xml:space="preserve">https://sorce.jobs</t>
  </si>
  <si>
    <t xml:space="preserve">https://www.ycombinator.com/companies/sorce</t>
  </si>
  <si>
    <t xml:space="preserve">A hiring marketplace where AI agents match candidates and companies.</t>
  </si>
  <si>
    <t xml:space="preserve">Standout</t>
  </si>
  <si>
    <t xml:space="preserve">https://standout.work</t>
  </si>
  <si>
    <t xml:space="preserve">https://www.ycombinator.com/companies/standout</t>
  </si>
  <si>
    <t xml:space="preserve">An AI career agent that finds matching jobs and applies for you. Reports about $3M yearly revenue rate within three months.</t>
  </si>
  <si>
    <t xml:space="preserve">Tsenta</t>
  </si>
  <si>
    <t xml:space="preserve">https://tsenta.com</t>
  </si>
  <si>
    <t xml:space="preserve">https://www.ycombinator.com/companies/tsenta</t>
  </si>
  <si>
    <t xml:space="preserve">AI agents that research talent pools and explain why a candidate fits.</t>
  </si>
  <si>
    <t xml:space="preserve">Kello</t>
  </si>
  <si>
    <t xml:space="preserve">An AI recruiting tool that searches large candidate databases by real skills.</t>
  </si>
  <si>
    <t xml:space="preserve">Juicebox</t>
  </si>
  <si>
    <t xml:space="preserve">2026 class (announced 2026-04-21)</t>
  </si>
  <si>
    <t xml:space="preserve">grant paid over two years, no equity taken</t>
  </si>
  <si>
    <t xml:space="preserve">fellow is from Kanpur, India; company base not stated in source</t>
  </si>
  <si>
    <t xml:space="preserve">Helps startups win government contracts.</t>
  </si>
  <si>
    <t xml:space="preserve">Capto</t>
  </si>
  <si>
    <t xml:space="preserve">https://gocapto.com/</t>
  </si>
  <si>
    <t xml:space="preserve">https://www.ycombinator.com/companies/capto</t>
  </si>
  <si>
    <t xml:space="preserve">Handles the compliance, labels and documents needed to sell a physical product in other countries.</t>
  </si>
  <si>
    <t xml:space="preserve">Complir</t>
  </si>
  <si>
    <t xml:space="preserve">Copenhagen, Denmark</t>
  </si>
  <si>
    <t xml:space="preserve">https://complir.io/</t>
  </si>
  <si>
    <t xml:space="preserve">https://www.ycombinator.com/companies/complir</t>
  </si>
  <si>
    <t xml:space="preserve">Automates how government offices answer public-records requests.</t>
  </si>
  <si>
    <t xml:space="preserve">GovGuard</t>
  </si>
  <si>
    <t xml:space="preserve">https://govguard.com</t>
  </si>
  <si>
    <t xml:space="preserve">https://www.ycombinator.com/companies/govguard</t>
  </si>
  <si>
    <t xml:space="preserve">AI software for a company's in-house legal team.</t>
  </si>
  <si>
    <t xml:space="preserve">Lexi</t>
  </si>
  <si>
    <t xml:space="preserve">https://getlexi.io/</t>
  </si>
  <si>
    <t xml:space="preserve">https://www.ycombinator.com/companies/lexi</t>
  </si>
  <si>
    <t xml:space="preserve">Automates immigration checks and paperwork for HR teams.</t>
  </si>
  <si>
    <t xml:space="preserve">Mayflower</t>
  </si>
  <si>
    <t xml:space="preserve">https://mayflowervisa.com</t>
  </si>
  <si>
    <t xml:space="preserve">https://www.ycombinator.com/companies/mayflower</t>
  </si>
  <si>
    <t xml:space="preserve">AI that spots when someone is infringing your patent.</t>
  </si>
  <si>
    <t xml:space="preserve">Patent Watch</t>
  </si>
  <si>
    <t xml:space="preserve">https://www.patentwatch.ai/</t>
  </si>
  <si>
    <t xml:space="preserve">https://www.ycombinator.com/companies/patent-watch</t>
  </si>
  <si>
    <t xml:space="preserve">AI that does police officers' paperwork.</t>
  </si>
  <si>
    <t xml:space="preserve">Reconero</t>
  </si>
  <si>
    <t xml:space="preserve">https://reconero.com</t>
  </si>
  <si>
    <t xml:space="preserve">https://www.ycombinator.com/companies/reconero</t>
  </si>
  <si>
    <t xml:space="preserve">AI agents that make local government offices work faster.</t>
  </si>
  <si>
    <t xml:space="preserve">Verdant</t>
  </si>
  <si>
    <t xml:space="preserve">https://www.verdantapp.com/</t>
  </si>
  <si>
    <t xml:space="preserve">https://www.ycombinator.com/companies/verdant</t>
  </si>
  <si>
    <t xml:space="preserve">AI research on court cases for trial lawyers.</t>
  </si>
  <si>
    <t xml:space="preserve">OurFirm.ai</t>
  </si>
  <si>
    <t xml:space="preserve">Speech-to-text and workflow tools that help Indian courts and lawyers clear case backlogs.</t>
  </si>
  <si>
    <t xml:space="preserve">Adalat AI</t>
  </si>
  <si>
    <t xml:space="preserve">Uses AI and investigative journalism to uncover government fraud.</t>
  </si>
  <si>
    <t xml:space="preserve">The Antifraud Company</t>
  </si>
  <si>
    <t xml:space="preserve">New Hampshire, USA (fellow's location)</t>
  </si>
  <si>
    <t xml:space="preserve">AI-based legal operations for startups.</t>
  </si>
  <si>
    <t xml:space="preserve">OneGC</t>
  </si>
  <si>
    <t xml:space="preserve">Checks that consumer-goods labels follow the rules.</t>
  </si>
  <si>
    <t xml:space="preserve">Truli</t>
  </si>
  <si>
    <t xml:space="preserve">Payment cards for AI agents.</t>
  </si>
  <si>
    <t xml:space="preserve">Agentcard</t>
  </si>
  <si>
    <t xml:space="preserve">https://agentcard.sh</t>
  </si>
  <si>
    <t xml:space="preserve">https://www.ycombinator.com/companies/agentcard</t>
  </si>
  <si>
    <t xml:space="preserve">Gives AI agents their own phone numbers so they can call and text.</t>
  </si>
  <si>
    <t xml:space="preserve">AgentPhone</t>
  </si>
  <si>
    <t xml:space="preserve">https://agentphone.ai/</t>
  </si>
  <si>
    <t xml:space="preserve">https://www.ycombinator.com/companies/agentphone</t>
  </si>
  <si>
    <t xml:space="preserve">Sends each AI request to the cheapest model that can handle it, to cut AI bills by a claimed 70%+.</t>
  </si>
  <si>
    <t xml:space="preserve">Conifer</t>
  </si>
  <si>
    <t xml:space="preserve">https://www.conifer.build</t>
  </si>
  <si>
    <t xml:space="preserve">https://www.ycombinator.com/companies/conifer</t>
  </si>
  <si>
    <t xml:space="preserve">Lets an AI agent call a human expert within seconds when it gets stuck.</t>
  </si>
  <si>
    <t xml:space="preserve">Humwork</t>
  </si>
  <si>
    <t xml:space="preserve">https://humwork.ai</t>
  </si>
  <si>
    <t xml:space="preserve">https://www.ycombinator.com/companies/humwork</t>
  </si>
  <si>
    <t xml:space="preserve">Gives AI agents an identity (email, phone number) so they can communicate.</t>
  </si>
  <si>
    <t xml:space="preserve">Inkbox</t>
  </si>
  <si>
    <t xml:space="preserve">https://inkbox.ai</t>
  </si>
  <si>
    <t xml:space="preserve">https://www.ycombinator.com/companies/inkbox</t>
  </si>
  <si>
    <t xml:space="preserve">Lets AI agents make payments.</t>
  </si>
  <si>
    <t xml:space="preserve">Locus</t>
  </si>
  <si>
    <t xml:space="preserve">https://paywithlocus.com</t>
  </si>
  <si>
    <t xml:space="preserve">https://www.ycombinator.com/companies/locus</t>
  </si>
  <si>
    <t xml:space="preserve">Turns any website into something software can talk to directly.</t>
  </si>
  <si>
    <t xml:space="preserve">Parse</t>
  </si>
  <si>
    <t xml:space="preserve">https://parse.bot</t>
  </si>
  <si>
    <t xml:space="preserve">https://www.ycombinator.com/companies/parse-bot</t>
  </si>
  <si>
    <t xml:space="preserve">Makes any website usable as a tool by AI agents in minutes.</t>
  </si>
  <si>
    <t xml:space="preserve">Pomerado</t>
  </si>
  <si>
    <t xml:space="preserve">https://www.pomerado.ai</t>
  </si>
  <si>
    <t xml:space="preserve">https://www.ycombinator.com/companies/pomerado</t>
  </si>
  <si>
    <t xml:space="preserve">A marketplace where AI agents hire humans to do real-world tasks.</t>
  </si>
  <si>
    <t xml:space="preserve">RentAHuman</t>
  </si>
  <si>
    <t xml:space="preserve">https://rentahuman.ai</t>
  </si>
  <si>
    <t xml:space="preserve">https://www.ycombinator.com/companies/rentahuman</t>
  </si>
  <si>
    <t xml:space="preserve">Very fast web browsers in the cloud that AI agents use and that websites cannot block.</t>
  </si>
  <si>
    <t xml:space="preserve">Tilion</t>
  </si>
  <si>
    <t xml:space="preserve">https://tilion.com</t>
  </si>
  <si>
    <t xml:space="preserve">https://www.ycombinator.com/companies/tilion</t>
  </si>
  <si>
    <t xml:space="preserve">Reads messy documents (PDFs, scans, tables) and turns them into clean data.</t>
  </si>
  <si>
    <t xml:space="preserve">Unsiloed AI</t>
  </si>
  <si>
    <t xml:space="preserve">https://www.unsiloed.ai/</t>
  </si>
  <si>
    <t xml:space="preserve">https://www.ycombinator.com/companies/unsiloed-ai</t>
  </si>
  <si>
    <t xml:space="preserve">Lets AI agents make purchases on behalf of brands.</t>
  </si>
  <si>
    <t xml:space="preserve">Parleo</t>
  </si>
  <si>
    <t xml:space="preserve">Payment infrastructure that lets AI agents pay safely on a user's behalf.</t>
  </si>
  <si>
    <t xml:space="preserve">Prava</t>
  </si>
  <si>
    <t xml:space="preserve">Post a task, AI agents and human specialists do it, and you pay when it is done.</t>
  </si>
  <si>
    <t xml:space="preserve">Bounty</t>
  </si>
  <si>
    <t xml:space="preserve">A network where AI agents learn from other AI agents.</t>
  </si>
  <si>
    <t xml:space="preserve">ChatOverflow</t>
  </si>
  <si>
    <t xml:space="preserve">A data warehouse that AI agents build and run.</t>
  </si>
  <si>
    <t xml:space="preserve">Embrasure</t>
  </si>
  <si>
    <t xml:space="preserve">Infrastructure that keeps a product running when AI agents use it heavily.</t>
  </si>
  <si>
    <t xml:space="preserve">PreMan</t>
  </si>
  <si>
    <t xml:space="preserve">File storage built for AI workloads.</t>
  </si>
  <si>
    <t xml:space="preserve">Space</t>
  </si>
  <si>
    <t xml:space="preserve">Lets AI agents use everyday web tools.</t>
  </si>
  <si>
    <t xml:space="preserve">Switchfrog</t>
  </si>
  <si>
    <t xml:space="preserve">Finds where a company's AI agents fail, then trains better models to run them.</t>
  </si>
  <si>
    <t xml:space="preserve">Agnost AI</t>
  </si>
  <si>
    <t xml:space="preserve">https://agnost.ai</t>
  </si>
  <si>
    <t xml:space="preserve">https://www.ycombinator.com/companies/agnost-ai</t>
  </si>
  <si>
    <t xml:space="preserve">Realistic copies of real software so AI agents can be tested safely before going live.</t>
  </si>
  <si>
    <t xml:space="preserve">Arga Labs</t>
  </si>
  <si>
    <t xml:space="preserve">https://www.argalabs.com/</t>
  </si>
  <si>
    <t xml:space="preserve">https://www.ycombinator.com/companies/arga-labs</t>
  </si>
  <si>
    <t xml:space="preserve">Watches long-running AI agents, spots when they quietly fail or drift from the goal, and suggests the fix.</t>
  </si>
  <si>
    <t xml:space="preserve">BentoLabs AI</t>
  </si>
  <si>
    <t xml:space="preserve">https://bentolabs.ai/</t>
  </si>
  <si>
    <t xml:space="preserve">https://www.ycombinator.com/companies/bentolabs-ai</t>
  </si>
  <si>
    <t xml:space="preserve">Trains models specific to a company that approve or block what its AI agents do.</t>
  </si>
  <si>
    <t xml:space="preserve">Decawork</t>
  </si>
  <si>
    <t xml:space="preserve">https://decawork.ai/</t>
  </si>
  <si>
    <t xml:space="preserve">https://www.ycombinator.com/companies/decawork</t>
  </si>
  <si>
    <t xml:space="preserve">A hidden watermark inside AI-generated voice that survives a phone call, so fake voices can be detected.</t>
  </si>
  <si>
    <t xml:space="preserve">DeepMark</t>
  </si>
  <si>
    <t xml:space="preserve">https://www.deepmark.me</t>
  </si>
  <si>
    <t xml:space="preserve">https://www.ycombinator.com/companies/deepmark</t>
  </si>
  <si>
    <t xml:space="preserve">Monitors AI agents after launch and shows when they fail.</t>
  </si>
  <si>
    <t xml:space="preserve">Lemma</t>
  </si>
  <si>
    <t xml:space="preserve">https://www.uselemma.ai/</t>
  </si>
  <si>
    <t xml:space="preserve">https://www.ycombinator.com/companies/uselemma</t>
  </si>
  <si>
    <t xml:space="preserve">Login, permissions and audit logs for AI agents.</t>
  </si>
  <si>
    <t xml:space="preserve">Multifactor</t>
  </si>
  <si>
    <t xml:space="preserve">https://multifactor.com</t>
  </si>
  <si>
    <t xml:space="preserve">https://www.ycombinator.com/companies/multifactor</t>
  </si>
  <si>
    <t xml:space="preserve">A platform to train, test and launch AI agents that work inside real business systems.</t>
  </si>
  <si>
    <t xml:space="preserve">Ressl AI</t>
  </si>
  <si>
    <t xml:space="preserve">https://ressl.ai</t>
  </si>
  <si>
    <t xml:space="preserve">https://www.ycombinator.com/companies/ressl-ai</t>
  </si>
  <si>
    <t xml:space="preserve">Checks an AI agent's action before it is carried out.</t>
  </si>
  <si>
    <t xml:space="preserve">Salus</t>
  </si>
  <si>
    <t xml:space="preserve">https://www.usesalus.ai/</t>
  </si>
  <si>
    <t xml:space="preserve">https://www.ycombinator.com/companies/salus</t>
  </si>
  <si>
    <t xml:space="preserve">Protects AI agents from being tricked by malicious instructions, and keeps learning from new attacks.</t>
  </si>
  <si>
    <t xml:space="preserve">Silmaril</t>
  </si>
  <si>
    <t xml:space="preserve">https://silmaril.dev</t>
  </si>
  <si>
    <t xml:space="preserve">https://www.ycombinator.com/companies/silmaril</t>
  </si>
  <si>
    <t xml:space="preserve">Security software that watches AI agents the way antivirus watches laptops. Reports $3M yearly revenue across pilots (unverified).</t>
  </si>
  <si>
    <t xml:space="preserve">Traceforce</t>
  </si>
  <si>
    <t xml:space="preserve">https://www.traceforce.ai</t>
  </si>
  <si>
    <t xml:space="preserve">https://www.ycombinator.com/companies/traceforce</t>
  </si>
  <si>
    <t xml:space="preserve">AI that keeps trying to hack your own systems and fixes the holes it finds.</t>
  </si>
  <si>
    <t xml:space="preserve">Veria Labs</t>
  </si>
  <si>
    <t xml:space="preserve">https://verialabs.com</t>
  </si>
  <si>
    <t xml:space="preserve">https://www.ycombinator.com/companies/veria-labs</t>
  </si>
  <si>
    <t xml:space="preserve">AI agents that handle trust-and-safety cases for online platforms.</t>
  </si>
  <si>
    <t xml:space="preserve">Precognition Labs</t>
  </si>
  <si>
    <t xml:space="preserve">Tests and monitors voice AI agents before companies put them in front of customers.</t>
  </si>
  <si>
    <t xml:space="preserve">SuperBryn</t>
  </si>
  <si>
    <t xml:space="preserve">Helps companies measure and manage their cyber-security risk in money terms.</t>
  </si>
  <si>
    <t xml:space="preserve">Zeron</t>
  </si>
  <si>
    <t xml:space="preserve">Tests AI agents against thousands of simulated situations to check they follow company policy.</t>
  </si>
  <si>
    <t xml:space="preserve">Reinforce Labs</t>
  </si>
  <si>
    <t xml:space="preserve">Palo Alto, USA</t>
  </si>
  <si>
    <t xml:space="preserve">Software that turns existing CCTV cameras into live AI alerts for falls, fires and unauthorised entry.</t>
  </si>
  <si>
    <t xml:space="preserve">Aeyi</t>
  </si>
  <si>
    <t xml:space="preserve">One security platform that protects a company's AI and software supply chain.</t>
  </si>
  <si>
    <t xml:space="preserve">O3 Security</t>
  </si>
  <si>
    <t xml:space="preserve">AI models without the usual refusals, for security testing.</t>
  </si>
  <si>
    <t xml:space="preserve">Abliteration.ai</t>
  </si>
  <si>
    <t xml:space="preserve">Replay and monitoring of what an AI agent did in a session.</t>
  </si>
  <si>
    <t xml:space="preserve">AgentCat</t>
  </si>
  <si>
    <t xml:space="preserve">Always-on security for AI agents that catches flaws before release.</t>
  </si>
  <si>
    <t xml:space="preserve">Kairo</t>
  </si>
  <si>
    <t xml:space="preserve">Keeps AI agents learning after they are launched.</t>
  </si>
  <si>
    <t xml:space="preserve">Proper Motion</t>
  </si>
  <si>
    <t xml:space="preserve">A place to host code (like GitHub) rebuilt for AI-written code.</t>
  </si>
  <si>
    <t xml:space="preserve">/dev/fast</t>
  </si>
  <si>
    <t xml:space="preserve">https://dev.fast</t>
  </si>
  <si>
    <t xml:space="preserve">https://www.ycombinator.com/companies/devfast</t>
  </si>
  <si>
    <t xml:space="preserve">An AI coding agent for C and C++. Founded by two IIT Delhi computer science graduates whose earlier legal-AI startup was acquired.</t>
  </si>
  <si>
    <t xml:space="preserve">ByteAsk</t>
  </si>
  <si>
    <t xml:space="preserve">$1M</t>
  </si>
  <si>
    <t xml:space="preserve">pre-seed led by YC with Entrepreneur First and angels (reported 2026-09-27)</t>
  </si>
  <si>
    <t xml:space="preserve">https://byteask.ai/</t>
  </si>
  <si>
    <t xml:space="preserve">https://www.ycombinator.com/companies/byteask ; https://americanbazaaronline.com/2026/09/27/iit-delhi-graduates-byteask-1-million-funding-488891/</t>
  </si>
  <si>
    <t xml:space="preserve">An AI coding agent that asks questions and works with you instead of guessing.</t>
  </si>
  <si>
    <t xml:space="preserve">Compyle</t>
  </si>
  <si>
    <t xml:space="preserve">https://compyle.ai</t>
  </si>
  <si>
    <t xml:space="preserve">https://www.ycombinator.com/companies/compyle</t>
  </si>
  <si>
    <t xml:space="preserve">Build a mobile app by describing it.</t>
  </si>
  <si>
    <t xml:space="preserve">Fastshot</t>
  </si>
  <si>
    <t xml:space="preserve">Thessaloniki, Greece</t>
  </si>
  <si>
    <t xml:space="preserve">https://www.fastshot.ai/</t>
  </si>
  <si>
    <t xml:space="preserve">https://www.ycombinator.com/companies/fastshot</t>
  </si>
  <si>
    <t xml:space="preserve">An AI engineer that debugs and fixes live software problems as they happen.</t>
  </si>
  <si>
    <t xml:space="preserve">HyperProbe</t>
  </si>
  <si>
    <t xml:space="preserve">https://hyperprobe.co</t>
  </si>
  <si>
    <t xml:space="preserve">https://www.ycombinator.com/companies/hyperprobe</t>
  </si>
  <si>
    <t xml:space="preserve">AI that investigates and fixes outages for engineering teams.</t>
  </si>
  <si>
    <t xml:space="preserve">IncidentFox</t>
  </si>
  <si>
    <t xml:space="preserve">https://incidentfox.ai</t>
  </si>
  <si>
    <t xml:space="preserve">https://www.ycombinator.com/companies/brownie</t>
  </si>
  <si>
    <t xml:space="preserve">Lets non-engineers build real product features with AI, while engineers review the code.</t>
  </si>
  <si>
    <t xml:space="preserve">LightSprint</t>
  </si>
  <si>
    <t xml:space="preserve">https://lightsprint.ai</t>
  </si>
  <si>
    <t xml:space="preserve">https://www.ycombinator.com/companies/lightsprint</t>
  </si>
  <si>
    <t xml:space="preserve">Finds problems in running software from its logs and proposes fixes inside Slack.</t>
  </si>
  <si>
    <t xml:space="preserve">Sazabi</t>
  </si>
  <si>
    <t xml:space="preserve">https://www.sazabi.com/</t>
  </si>
  <si>
    <t xml:space="preserve">https://www.ycombinator.com/companies/sazabi</t>
  </si>
  <si>
    <t xml:space="preserve">Search that helps people and AI understand very large codebases.</t>
  </si>
  <si>
    <t xml:space="preserve">Sourcebot</t>
  </si>
  <si>
    <t xml:space="preserve">https://www.sourcebot.dev/</t>
  </si>
  <si>
    <t xml:space="preserve">https://www.ycombinator.com/companies/sourcebot</t>
  </si>
  <si>
    <t xml:space="preserve">Run and manage 100+ AI coding agents at once.</t>
  </si>
  <si>
    <t xml:space="preserve">Superset</t>
  </si>
  <si>
    <t xml:space="preserve">https://www.superset.sh/</t>
  </si>
  <si>
    <t xml:space="preserve">https://www.ycombinator.com/companies/superset</t>
  </si>
  <si>
    <t xml:space="preserve">AI that tests your app like a user and catches bugs before release.</t>
  </si>
  <si>
    <t xml:space="preserve">TesterArmy</t>
  </si>
  <si>
    <t xml:space="preserve">Warsaw, Masovian Voivodeship, Poland; Remote</t>
  </si>
  <si>
    <t xml:space="preserve">https://tester.army</t>
  </si>
  <si>
    <t xml:space="preserve">https://www.ycombinator.com/companies/testerarmy</t>
  </si>
  <si>
    <t xml:space="preserve">AI that writes the software inside connected devices (firmware).</t>
  </si>
  <si>
    <t xml:space="preserve">CraftifAI</t>
  </si>
  <si>
    <t xml:space="preserve">AI models and coding tools for low-level system and device software.</t>
  </si>
  <si>
    <t xml:space="preserve">H2Loop AI</t>
  </si>
  <si>
    <t xml:space="preserve">Maps a large codebase so AI agents can understand it.</t>
  </si>
  <si>
    <t xml:space="preserve">PotpieAI</t>
  </si>
  <si>
    <t xml:space="preserve">One-click cloud computers for developers that can be handed over to AI agents.</t>
  </si>
  <si>
    <t xml:space="preserve">Cube Computer</t>
  </si>
  <si>
    <t xml:space="preserve">Software that improves itself from how people use it, with AI agents doing the improving.</t>
  </si>
  <si>
    <t xml:space="preserve">Elu</t>
  </si>
  <si>
    <t xml:space="preserve">Simulated users that react to your software before you ship it.</t>
  </si>
  <si>
    <t xml:space="preserve">Tenera</t>
  </si>
  <si>
    <t xml:space="preserve">Recordings of real human movement, sold to companies training humanoid robots.</t>
  </si>
  <si>
    <t xml:space="preserve">Asimov</t>
  </si>
  <si>
    <t xml:space="preserve">https://tryasimov.ai/</t>
  </si>
  <si>
    <t xml:space="preserve">https://www.ycombinator.com/companies/asimov</t>
  </si>
  <si>
    <t xml:space="preserve">A crowdsourced test that ranks how well AI models can use a computer. Reports revenue going from zero to $60K in two weeks.</t>
  </si>
  <si>
    <t xml:space="preserve">CoArena</t>
  </si>
  <si>
    <t xml:space="preserve">http://coarena.ai</t>
  </si>
  <si>
    <t xml:space="preserve">https://www.ycombinator.com/companies/coarena</t>
  </si>
  <si>
    <t xml:space="preserve">Collects and prepares training data for robot AI under strict security. Reports close to seven-figure revenue within 30 days.</t>
  </si>
  <si>
    <t xml:space="preserve">Datoric</t>
  </si>
  <si>
    <t xml:space="preserve">https://www.datoric.com</t>
  </si>
  <si>
    <t xml:space="preserve">https://www.ycombinator.com/companies/datoric</t>
  </si>
  <si>
    <t xml:space="preserve">Practice simulations where robot AI can learn.</t>
  </si>
  <si>
    <t xml:space="preserve">Fern</t>
  </si>
  <si>
    <t xml:space="preserve">https://fern.bot</t>
  </si>
  <si>
    <t xml:space="preserve">https://www.ycombinator.com/companies/fern-bot</t>
  </si>
  <si>
    <t xml:space="preserve">A wristband that senses force, used to record how hands work so robots can learn it.</t>
  </si>
  <si>
    <t xml:space="preserve">Hemlock</t>
  </si>
  <si>
    <t xml:space="preserve">https://hemlock.inc</t>
  </si>
  <si>
    <t xml:space="preserve">https://www.ycombinator.com/companies/hemlock</t>
  </si>
  <si>
    <t xml:space="preserve">Screen recordings of professionals using design and business software, sold to AI labs to train models that use computers.</t>
  </si>
  <si>
    <t xml:space="preserve">Markov</t>
  </si>
  <si>
    <t xml:space="preserve">https://www.markovstudios.com/</t>
  </si>
  <si>
    <t xml:space="preserve">https://www.ycombinator.com/companies/markov</t>
  </si>
  <si>
    <t xml:space="preserve">Pays real businesses to record their work, then sells it as robot training data.</t>
  </si>
  <si>
    <t xml:space="preserve">Praxis Robotics</t>
  </si>
  <si>
    <t xml:space="preserve">https://www.praxisrobotics.io</t>
  </si>
  <si>
    <t xml:space="preserve">https://www.ycombinator.com/companies/praxis-robotics</t>
  </si>
  <si>
    <t xml:space="preserve">Expert-written science and maths reasoning examples, sold to AI labs as training data.</t>
  </si>
  <si>
    <t xml:space="preserve">Sciloop</t>
  </si>
  <si>
    <t xml:space="preserve">https://sciloop.dev</t>
  </si>
  <si>
    <t xml:space="preserve">https://www.ycombinator.com/companies/sciloop</t>
  </si>
  <si>
    <t xml:space="preserve">Training data for AI speech models.</t>
  </si>
  <si>
    <t xml:space="preserve">The Agentic Data Co.</t>
  </si>
  <si>
    <t xml:space="preserve">https://theagenticdatacompany.com</t>
  </si>
  <si>
    <t xml:space="preserve">https://www.ycombinator.com/companies/the-agentic-data-co</t>
  </si>
  <si>
    <t xml:space="preserve">Simulated worlds where science and healthcare AI agents can practise.</t>
  </si>
  <si>
    <t xml:space="preserve">Delightful AI</t>
  </si>
  <si>
    <t xml:space="preserve">Better data collection for training robots.</t>
  </si>
  <si>
    <t xml:space="preserve">Munari</t>
  </si>
  <si>
    <t xml:space="preserve">Turns records of AI agent runs into training data for companies.</t>
  </si>
  <si>
    <t xml:space="preserve">SenseLab</t>
  </si>
  <si>
    <t xml:space="preserve">Puts idle GPU computing power to use.</t>
  </si>
  <si>
    <t xml:space="preserve">Expanse</t>
  </si>
  <si>
    <t xml:space="preserve">https://expanse.sh</t>
  </si>
  <si>
    <t xml:space="preserve">https://www.ycombinator.com/companies/expanse</t>
  </si>
  <si>
    <t xml:space="preserve">Builds small, cheap AI models that understand video for one specific job and can run on a company's own machines.</t>
  </si>
  <si>
    <t xml:space="preserve">Kailash Labs</t>
  </si>
  <si>
    <t xml:space="preserve">https://www.kailashlabs.com/</t>
  </si>
  <si>
    <t xml:space="preserve">https://www.ycombinator.com/companies/kailash-labs</t>
  </si>
  <si>
    <t xml:space="preserve">Runs open AI models for European customers with data kept private.</t>
  </si>
  <si>
    <t xml:space="preserve">Munito AI</t>
  </si>
  <si>
    <t xml:space="preserve">Paris, Île-de-France, France; Remote</t>
  </si>
  <si>
    <t xml:space="preserve">https://munito.ai</t>
  </si>
  <si>
    <t xml:space="preserve">https://www.ycombinator.com/companies/munito-ai</t>
  </si>
  <si>
    <t xml:space="preserve">A very cheap and fast cloud for running AI models.</t>
  </si>
  <si>
    <t xml:space="preserve">OneTriangle</t>
  </si>
  <si>
    <t xml:space="preserve">https://onetriangle.ai/</t>
  </si>
  <si>
    <t xml:space="preserve">https://www.ycombinator.com/companies/onetriangle</t>
  </si>
  <si>
    <t xml:space="preserve">Trains human brain cells in a lab as a low-energy alternative to GPU chips.</t>
  </si>
  <si>
    <t xml:space="preserve">Parasma</t>
  </si>
  <si>
    <t xml:space="preserve">https://parasma.com</t>
  </si>
  <si>
    <t xml:space="preserve">https://www.ycombinator.com/companies/parasma</t>
  </si>
  <si>
    <t xml:space="preserve">Search that helps AI coding agents find the right parts of a codebase before they write code.</t>
  </si>
  <si>
    <t xml:space="preserve">Perseus</t>
  </si>
  <si>
    <t xml:space="preserve">https://perseus.computer</t>
  </si>
  <si>
    <t xml:space="preserve">https://www.ycombinator.com/companies/perseus</t>
  </si>
  <si>
    <t xml:space="preserve">Runs open AI models fast on a phone, on a company's own servers, or in the cloud.</t>
  </si>
  <si>
    <t xml:space="preserve">RunAnywhere</t>
  </si>
  <si>
    <t xml:space="preserve">https://www.runanywhere.ai/</t>
  </si>
  <si>
    <t xml:space="preserve">https://www.ycombinator.com/companies/runanywhere</t>
  </si>
  <si>
    <t xml:space="preserve">A decentralised cloud for running AI workloads and blockchain apps.</t>
  </si>
  <si>
    <t xml:space="preserve">CreateOS by NodeOps</t>
  </si>
  <si>
    <t xml:space="preserve">Infrastructure for running open-source AI models fast.</t>
  </si>
  <si>
    <t xml:space="preserve">Pipeshift</t>
  </si>
  <si>
    <t xml:space="preserve">San Francisco, USA and Bengaluru, India</t>
  </si>
  <si>
    <t xml:space="preserve">AI agents that run experiments to improve other AI models.</t>
  </si>
  <si>
    <t xml:space="preserve">hiloop</t>
  </si>
  <si>
    <t xml:space="preserve">Software that lets AI run on the small computers inside robots, cars and drones.</t>
  </si>
  <si>
    <t xml:space="preserve">Opt32</t>
  </si>
  <si>
    <t xml:space="preserve">New York, USA (fellow's location)</t>
  </si>
  <si>
    <t xml:space="preserve">Research on AI models that learn actively from the internet.</t>
  </si>
  <si>
    <t xml:space="preserve">Standard Intelligence</t>
  </si>
  <si>
    <t xml:space="preserve">North Carolina, USA (fellow's location)</t>
  </si>
  <si>
    <t xml:space="preserve">Many small AI models working together, cheaper than one large model.</t>
  </si>
  <si>
    <t xml:space="preserve">Banbury Road</t>
  </si>
  <si>
    <t xml:space="preserve">Keeps fleets of GPUs busy and productive.</t>
  </si>
  <si>
    <t xml:space="preserve">Harbor AI</t>
  </si>
  <si>
    <t xml:space="preserve">Software that makes AI models run faster and cheaper on existing hardware.</t>
  </si>
  <si>
    <t xml:space="preserve">Hoid</t>
  </si>
  <si>
    <t xml:space="preserve">A research lab that puts its own AI models to work in critical industries.</t>
  </si>
  <si>
    <t xml:space="preserve">Ripline</t>
  </si>
  <si>
    <t xml:space="preserve">AI models aimed at invention and scientific discovery.</t>
  </si>
  <si>
    <t xml:space="preserve">Superintelligence Foundry</t>
  </si>
  <si>
    <t xml:space="preserve">Company-owned AI models meant to beat rented ones.</t>
  </si>
  <si>
    <t xml:space="preserve">Zorbe</t>
  </si>
  <si>
    <t xml:space="preserve">Voice AI for Indian businesses: automated phone calls for sales, support and collections, in Indian languages.</t>
  </si>
  <si>
    <t xml:space="preserve">Bolna AI</t>
  </si>
  <si>
    <t xml:space="preserve">https://bolna.ai</t>
  </si>
  <si>
    <t xml:space="preserve">https://www.ycombinator.com/companies/bolna-ai</t>
  </si>
  <si>
    <t xml:space="preserve">AI voice agents that plug into a company's own in-house phone system.</t>
  </si>
  <si>
    <t xml:space="preserve">Callab AI</t>
  </si>
  <si>
    <t xml:space="preserve">https://callab.ai</t>
  </si>
  <si>
    <t xml:space="preserve">https://www.ycombinator.com/companies/callab-ai</t>
  </si>
  <si>
    <t xml:space="preserve">Makes voice AI respond faster.</t>
  </si>
  <si>
    <t xml:space="preserve">Hopper</t>
  </si>
  <si>
    <t xml:space="preserve">https://withhopper.com</t>
  </si>
  <si>
    <t xml:space="preserve">https://www.ycombinator.com/companies/hopper</t>
  </si>
  <si>
    <t xml:space="preserve">Builds general-purpose speech AI models.</t>
  </si>
  <si>
    <t xml:space="preserve">Kalpa Labs</t>
  </si>
  <si>
    <t xml:space="preserve">https://kalpalabs.ai/</t>
  </si>
  <si>
    <t xml:space="preserve">https://www.ycombinator.com/companies/kalpa-labs</t>
  </si>
  <si>
    <t xml:space="preserve">A voice AI model that runs on the customer's own servers and supports 30+ languages.</t>
  </si>
  <si>
    <t xml:space="preserve">KugelAudio</t>
  </si>
  <si>
    <t xml:space="preserve">https://kugelaudio.com/en</t>
  </si>
  <si>
    <t xml:space="preserve">https://www.ycombinator.com/companies/kugelaudio</t>
  </si>
  <si>
    <t xml:space="preserve">Voice agents that speak many languages for phone calls.</t>
  </si>
  <si>
    <t xml:space="preserve">Samora AI</t>
  </si>
  <si>
    <t xml:space="preserve">https://samora.ai/</t>
  </si>
  <si>
    <t xml:space="preserve">https://www.ycombinator.com/companies/samora-ai</t>
  </si>
  <si>
    <t xml:space="preserve">One connection that sends each phone call to whichever speech model is best for it.</t>
  </si>
  <si>
    <t xml:space="preserve">Speko</t>
  </si>
  <si>
    <t xml:space="preserve">https://speko.ai/?utm_source=ycombinator&amp;utm_medium=profile</t>
  </si>
  <si>
    <t xml:space="preserve">https://www.ycombinator.com/companies/speko</t>
  </si>
  <si>
    <t xml:space="preserve">Voice AI for large call-centre operations.</t>
  </si>
  <si>
    <t xml:space="preserve">Persistence Labs</t>
  </si>
  <si>
    <t xml:space="preserve">Voice AI workers for US insurance companies.</t>
  </si>
  <si>
    <t xml:space="preserve">Infer.so</t>
  </si>
  <si>
    <t xml:space="preserve">Voice AI for enterprises that works across many Indian languages.</t>
  </si>
  <si>
    <t xml:space="preserve">Navana.ai</t>
  </si>
  <si>
    <t xml:space="preserve">Speech models that understand tone and intent, not just words.</t>
  </si>
  <si>
    <t xml:space="preserve">Oruk</t>
  </si>
  <si>
    <t xml:space="preserve">A network of people who remotely help robots when they get stuck, with operators in India, Mexico and the US.</t>
  </si>
  <si>
    <t xml:space="preserve">Aktoria Robotics</t>
  </si>
  <si>
    <t xml:space="preserve">https://aktoria.com/</t>
  </si>
  <si>
    <t xml:space="preserve">https://www.ycombinator.com/companies/aktoria-robotics</t>
  </si>
  <si>
    <t xml:space="preserve">AI drones that herd cattle.</t>
  </si>
  <si>
    <t xml:space="preserve">Brumby (Formerly GrazeMate)</t>
  </si>
  <si>
    <t xml:space="preserve">Sydney, NSW, Australia</t>
  </si>
  <si>
    <t xml:space="preserve">https://brumby</t>
  </si>
  <si>
    <t xml:space="preserve">https://www.ycombinator.com/companies/brumby</t>
  </si>
  <si>
    <t xml:space="preserve">Self-driving heavy construction robots. Reports about $25M in contracts through 2027.</t>
  </si>
  <si>
    <t xml:space="preserve">Cosmic Robotics</t>
  </si>
  <si>
    <t xml:space="preserve">https://www.cosmicrobotics.com/</t>
  </si>
  <si>
    <t xml:space="preserve">https://www.ycombinator.com/companies/cosmic-robotics</t>
  </si>
  <si>
    <t xml:space="preserve">Robotic arms that pick and pack online orders.</t>
  </si>
  <si>
    <t xml:space="preserve">InLoop Robotics</t>
  </si>
  <si>
    <t xml:space="preserve">https://inloop-robotics.com/</t>
  </si>
  <si>
    <t xml:space="preserve">https://www.ycombinator.com/companies/inloop-robotics</t>
  </si>
  <si>
    <t xml:space="preserve">A $1,688 humanoid home robot. Reported nearly $500K in sales six weeks after launch.</t>
  </si>
  <si>
    <t xml:space="preserve">Nori</t>
  </si>
  <si>
    <t xml:space="preserve">http://norirobotics.com</t>
  </si>
  <si>
    <t xml:space="preserve">https://www.ycombinator.com/companies/noril1</t>
  </si>
  <si>
    <t xml:space="preserve">A humanoid home robot that does chores, aimed at the price of an iPhone.</t>
  </si>
  <si>
    <t xml:space="preserve">Piggy Robotics</t>
  </si>
  <si>
    <t xml:space="preserve">https://piggyrobotics.com</t>
  </si>
  <si>
    <t xml:space="preserve">https://www.ycombinator.com/companies/piggy-robotics</t>
  </si>
  <si>
    <t xml:space="preserve">Robots that maintain and assemble data centers.</t>
  </si>
  <si>
    <t xml:space="preserve">Proprio Robotics</t>
  </si>
  <si>
    <t xml:space="preserve">https://www.propriorobotics.com/</t>
  </si>
  <si>
    <t xml:space="preserve">https://www.ycombinator.com/companies/proprio-robotics</t>
  </si>
  <si>
    <t xml:space="preserve">Robots that unload shipping containers in warehouses.</t>
  </si>
  <si>
    <t xml:space="preserve">Servo7</t>
  </si>
  <si>
    <t xml:space="preserve">Amsterdam, NH, Netherlands</t>
  </si>
  <si>
    <t xml:space="preserve">https://servo7.com</t>
  </si>
  <si>
    <t xml:space="preserve">https://www.ycombinator.com/companies/servo7</t>
  </si>
  <si>
    <t xml:space="preserve">Humanoid robots that restock shop shelves and pick orders.</t>
  </si>
  <si>
    <t xml:space="preserve">Theseus Robotics</t>
  </si>
  <si>
    <t xml:space="preserve">ZH, Switzerland</t>
  </si>
  <si>
    <t xml:space="preserve">https://theseus.bot/</t>
  </si>
  <si>
    <t xml:space="preserve">https://www.ycombinator.com/companies/theseus-robotics</t>
  </si>
  <si>
    <t xml:space="preserve">Lets AI write and test the code that controls a robot from plain-English instructions.</t>
  </si>
  <si>
    <t xml:space="preserve">Waddle Labs</t>
  </si>
  <si>
    <t xml:space="preserve">https://www.waddlelabs.ai/</t>
  </si>
  <si>
    <t xml:space="preserve">https://www.ycombinator.com/companies/waddle-labs</t>
  </si>
  <si>
    <t xml:space="preserve">Robots that inspect underground pipes with cameras and mapping sensors.</t>
  </si>
  <si>
    <t xml:space="preserve">Puralink</t>
  </si>
  <si>
    <t xml:space="preserve">$1.7M</t>
  </si>
  <si>
    <t xml:space="preserve">Self-driving forklifts, as a first step to faster long-distance logistics.</t>
  </si>
  <si>
    <t xml:space="preserve">Cavalla</t>
  </si>
  <si>
    <t xml:space="preserve">Birmingham, AL, USA (fellow's location)</t>
  </si>
  <si>
    <t xml:space="preserve">A research lab building general AI models for robots.</t>
  </si>
  <si>
    <t xml:space="preserve">Sentient Machines</t>
  </si>
  <si>
    <t xml:space="preserve">Cork, Ireland (fellow's location)</t>
  </si>
  <si>
    <t xml:space="preserve">no</t>
  </si>
  <si>
    <t xml:space="preserve">Robots that run data centers without staff on the floor.</t>
  </si>
  <si>
    <t xml:space="preserve">Cybernetic Physics</t>
  </si>
  <si>
    <t xml:space="preserve">Service and upkeep for robots and self-driving machines.</t>
  </si>
  <si>
    <t xml:space="preserve">Motherboard Labs</t>
  </si>
  <si>
    <t xml:space="preserve">AI that gets more work out of autonomous robots.</t>
  </si>
  <si>
    <t xml:space="preserve">scaledrive.ai</t>
  </si>
  <si>
    <t xml:space="preserve">Data and rollout tools for robot AI.</t>
  </si>
  <si>
    <t xml:space="preserve">Vound</t>
  </si>
  <si>
    <t xml:space="preserve">Low-cost robots that track and shoot down small drones. $1.6M in sales; investors reportedly valued it above $200M.</t>
  </si>
  <si>
    <t xml:space="preserve">9 Mothers</t>
  </si>
  <si>
    <t xml:space="preserve">Austin, TX, USA</t>
  </si>
  <si>
    <t xml:space="preserve">https://9mothers.com</t>
  </si>
  <si>
    <t xml:space="preserve">https://www.ycombinator.com/companies/9-mothers-corporation</t>
  </si>
  <si>
    <t xml:space="preserve">Cargo planes that fly without a pilot.</t>
  </si>
  <si>
    <t xml:space="preserve">Aviern</t>
  </si>
  <si>
    <t xml:space="preserve">https://aviern.com/</t>
  </si>
  <si>
    <t xml:space="preserve">https://www.ycombinator.com/companies/aviern</t>
  </si>
  <si>
    <t xml:space="preserve">Reusable satellites that make products in space and bring them back to Earth.</t>
  </si>
  <si>
    <t xml:space="preserve">Dispatch</t>
  </si>
  <si>
    <t xml:space="preserve">https://dispatch.space/</t>
  </si>
  <si>
    <t xml:space="preserve">https://www.ycombinator.com/companies/dispatch</t>
  </si>
  <si>
    <t xml:space="preserve">Remote control towers to modernise air traffic control.</t>
  </si>
  <si>
    <t xml:space="preserve">General Aviation</t>
  </si>
  <si>
    <t xml:space="preserve">https://generalaviation.com</t>
  </si>
  <si>
    <t xml:space="preserve">https://www.ycombinator.com/companies/general-aviation</t>
  </si>
  <si>
    <t xml:space="preserve">Mass-produced military strike drones and counter-drone systems, built locally in allied countries. About $10M revenue.</t>
  </si>
  <si>
    <t xml:space="preserve">Isengard Industries Inc</t>
  </si>
  <si>
    <t xml:space="preserve">http://isengardindustries.com/</t>
  </si>
  <si>
    <t xml:space="preserve">https://www.ycombinator.com/companies/isengard-industries-inc</t>
  </si>
  <si>
    <t xml:space="preserve">Technology that detects and tracks small drones.</t>
  </si>
  <si>
    <t xml:space="preserve">Milliray</t>
  </si>
  <si>
    <t xml:space="preserve">https://milliray.com/</t>
  </si>
  <si>
    <t xml:space="preserve">https://www.ycombinator.com/companies/milliray</t>
  </si>
  <si>
    <t xml:space="preserve">Navigation for drones that works without GPS.</t>
  </si>
  <si>
    <t xml:space="preserve">Streamline Systems</t>
  </si>
  <si>
    <t xml:space="preserve">https://streamlinesystems.ltd/</t>
  </si>
  <si>
    <t xml:space="preserve">https://www.ycombinator.com/companies/streamline-systems</t>
  </si>
  <si>
    <t xml:space="preserve">Counter-drone defence systems.</t>
  </si>
  <si>
    <t xml:space="preserve">Armory</t>
  </si>
  <si>
    <t xml:space="preserve">Self-flying aircraft that can operate on land and water.</t>
  </si>
  <si>
    <t xml:space="preserve">Aspera Industries</t>
  </si>
  <si>
    <t xml:space="preserve">Robots in space that extend satellite life and reduce orbital debris.</t>
  </si>
  <si>
    <t xml:space="preserve">InspeCity</t>
  </si>
  <si>
    <t xml:space="preserve">Low-cost modular drones for police and public-safety agencies.</t>
  </si>
  <si>
    <t xml:space="preserve">TAV Drones</t>
  </si>
  <si>
    <t xml:space="preserve">An electric vertical take-off aircraft company.</t>
  </si>
  <si>
    <t xml:space="preserve">Vyobha Aerospace</t>
  </si>
  <si>
    <t xml:space="preserve">https://marginalrevolution.com/marginalrevolution/2026/04/emergent-ventures-india-16th-cohort.html</t>
  </si>
  <si>
    <t xml:space="preserve">Groups of small satellites that detect and track radio signals for defence and shipping.</t>
  </si>
  <si>
    <t xml:space="preserve">ULOOK</t>
  </si>
  <si>
    <t xml:space="preserve">$2.3M</t>
  </si>
  <si>
    <t xml:space="preserve">Defense satellites that return usable answers in minutes.</t>
  </si>
  <si>
    <t xml:space="preserve">Galileo Space</t>
  </si>
  <si>
    <t xml:space="preserve">Lasers in orbit for missile defense.</t>
  </si>
  <si>
    <t xml:space="preserve">PhotonSpear</t>
  </si>
  <si>
    <t xml:space="preserve">Business-management software with AI for manufacturers.</t>
  </si>
  <si>
    <t xml:space="preserve">Arzana</t>
  </si>
  <si>
    <t xml:space="preserve">https://www.arzana.com/</t>
  </si>
  <si>
    <t xml:space="preserve">https://www.ycombinator.com/companies/arzana</t>
  </si>
  <si>
    <t xml:space="preserve">Nuclear-powered data centers on barges at sea, cooled by seawater. Claims over $4B of customer interest in letters of intent.</t>
  </si>
  <si>
    <t xml:space="preserve">Atomarine</t>
  </si>
  <si>
    <t xml:space="preserve">https://atomarine.co</t>
  </si>
  <si>
    <t xml:space="preserve">https://www.ycombinator.com/companies/atomarine</t>
  </si>
  <si>
    <t xml:space="preserve">AI agents that design analog electronic circuits.</t>
  </si>
  <si>
    <t xml:space="preserve">Atrisa</t>
  </si>
  <si>
    <t xml:space="preserve">https://atrisa.ai</t>
  </si>
  <si>
    <t xml:space="preserve">https://www.ycombinator.com/companies/atrisa</t>
  </si>
  <si>
    <t xml:space="preserve">An AI assistant that helps mechanical engineers design parts.</t>
  </si>
  <si>
    <t xml:space="preserve">Aurorin CAD</t>
  </si>
  <si>
    <t xml:space="preserve">https://aurorincad.com</t>
  </si>
  <si>
    <t xml:space="preserve">https://www.ycombinator.com/companies/aurorin-cad</t>
  </si>
  <si>
    <t xml:space="preserve">Hardware that moves data between AI computers as light, which saves power.</t>
  </si>
  <si>
    <t xml:space="preserve">Dipole Labs</t>
  </si>
  <si>
    <t xml:space="preserve">https://dipolelabs.com/</t>
  </si>
  <si>
    <t xml:space="preserve">https://www.ycombinator.com/companies/dipole-labs</t>
  </si>
  <si>
    <t xml:space="preserve">AI that operates energy equipment in buildings and plants to cut energy waste. Reports 34 sites deployed.</t>
  </si>
  <si>
    <t xml:space="preserve">Edviro</t>
  </si>
  <si>
    <t xml:space="preserve">https://edviroenergy.com</t>
  </si>
  <si>
    <t xml:space="preserve">https://www.ycombinator.com/companies/edviro</t>
  </si>
  <si>
    <t xml:space="preserve">Fully automated quality inspection for consumer-electronics parts.</t>
  </si>
  <si>
    <t xml:space="preserve">Hundred</t>
  </si>
  <si>
    <t xml:space="preserve">http://hundred.systems/</t>
  </si>
  <si>
    <t xml:space="preserve">https://www.ycombinator.com/companies/hundred</t>
  </si>
  <si>
    <t xml:space="preserve">AI chips with one AI model built permanently into the silicon, to run it much faster.</t>
  </si>
  <si>
    <t xml:space="preserve">Lamb Labs</t>
  </si>
  <si>
    <t xml:space="preserve">http://lamb-labs.com</t>
  </si>
  <si>
    <t xml:space="preserve">https://www.ycombinator.com/companies/lamb-labs</t>
  </si>
  <si>
    <t xml:space="preserve">Very efficient cooling units for data centers.</t>
  </si>
  <si>
    <t xml:space="preserve">Madrone</t>
  </si>
  <si>
    <t xml:space="preserve">https://madrone.cool/</t>
  </si>
  <si>
    <t xml:space="preserve">https://www.ycombinator.com/companies/madrone</t>
  </si>
  <si>
    <t xml:space="preserve">A phone app with AI that helps factory technicians fix broken machines.</t>
  </si>
  <si>
    <t xml:space="preserve">Pairio</t>
  </si>
  <si>
    <t xml:space="preserve">https://pairio.com</t>
  </si>
  <si>
    <t xml:space="preserve">https://www.ycombinator.com/companies/pairio</t>
  </si>
  <si>
    <t xml:space="preserve">An AI-automated factory that assembles circuit boards.</t>
  </si>
  <si>
    <t xml:space="preserve">Tenet Industries</t>
  </si>
  <si>
    <t xml:space="preserve">https://www.tenetindustries.com</t>
  </si>
  <si>
    <t xml:space="preserve">https://www.ycombinator.com/companies/tenet-industries</t>
  </si>
  <si>
    <t xml:space="preserve">Takes over the whole parts-buying process for hardware teams: quotes, payment, shipping, customs and stock tracking.</t>
  </si>
  <si>
    <t xml:space="preserve">Waybill</t>
  </si>
  <si>
    <t xml:space="preserve">Gurugram, HR, India</t>
  </si>
  <si>
    <t xml:space="preserve">https://www.waybill.to/</t>
  </si>
  <si>
    <t xml:space="preserve">https://www.ycombinator.com/companies/waybill</t>
  </si>
  <si>
    <t xml:space="preserve">Factory automation for precision car and aerospace manufacturing.</t>
  </si>
  <si>
    <t xml:space="preserve">LevelPlane</t>
  </si>
  <si>
    <t xml:space="preserve">Green-hydrogen engines for aviation and shipping.</t>
  </si>
  <si>
    <t xml:space="preserve">Green Aero Propulsion</t>
  </si>
  <si>
    <t xml:space="preserve">AI that inspects power lines more cheaply than laser scanning.</t>
  </si>
  <si>
    <t xml:space="preserve">Kanopy AI</t>
  </si>
  <si>
    <t xml:space="preserve">AI-driven heating and cooling controls for commercial buildings.</t>
  </si>
  <si>
    <t xml:space="preserve">Simply Agnostic Controls</t>
  </si>
  <si>
    <t xml:space="preserve">An AI copilot for mechanical engineers working in CAD.</t>
  </si>
  <si>
    <t xml:space="preserve">Tandem</t>
  </si>
  <si>
    <t xml:space="preserve">Sensors and AI that monitor air quality and water levels street by street.</t>
  </si>
  <si>
    <t xml:space="preserve">Aurassure</t>
  </si>
  <si>
    <t xml:space="preserve">Bhubaneswar, India</t>
  </si>
  <si>
    <t xml:space="preserve">AI that helps companies measure and cut their carbon emissions.</t>
  </si>
  <si>
    <t xml:space="preserve">Fitsol</t>
  </si>
  <si>
    <t xml:space="preserve">Cameras and AI that inspect products for defects on factory lines.</t>
  </si>
  <si>
    <t xml:space="preserve">Jidoka</t>
  </si>
  <si>
    <t xml:space="preserve">Chennai, India</t>
  </si>
  <si>
    <t xml:space="preserve">Smart wearables and safety gear for frontline industrial workers.</t>
  </si>
  <si>
    <t xml:space="preserve">Proxgy</t>
  </si>
  <si>
    <t xml:space="preserve">A desktop machine that places components on circuit boards for hardware prototyping.</t>
  </si>
  <si>
    <t xml:space="preserve">Placestation</t>
  </si>
  <si>
    <t xml:space="preserve">Real-time control software for industrial chemical reactors.</t>
  </si>
  <si>
    <t xml:space="preserve">Acaysia</t>
  </si>
  <si>
    <t xml:space="preserve">Turns a plain-language description of a machine into hardware.</t>
  </si>
  <si>
    <t xml:space="preserve">Blueprint</t>
  </si>
  <si>
    <t xml:space="preserve">AI models of the physical world for manufacturing, retail and construction.</t>
  </si>
  <si>
    <t xml:space="preserve">ChronoSpace</t>
  </si>
  <si>
    <t xml:space="preserve">Cleans industrial wastewater so data centers can reuse it.</t>
  </si>
  <si>
    <t xml:space="preserve">KIRA</t>
  </si>
  <si>
    <t xml:space="preserve">Power supply for new Western industry.</t>
  </si>
  <si>
    <t xml:space="preserve">Valent</t>
  </si>
  <si>
    <t xml:space="preserve">AI crews that help get power connected and delivered.</t>
  </si>
  <si>
    <t xml:space="preserve">Vela Energy</t>
  </si>
  <si>
    <t xml:space="preserve">An exchange to trade contracts on future computing power.</t>
  </si>
  <si>
    <t xml:space="preserve">Computable</t>
  </si>
  <si>
    <t xml:space="preserve">https://getcomputable.com</t>
  </si>
  <si>
    <t xml:space="preserve">https://www.ycombinator.com/companies/computable</t>
  </si>
  <si>
    <t xml:space="preserve">One connection to trade on all prediction markets such as Kalshi and Polymarket.</t>
  </si>
  <si>
    <t xml:space="preserve">Dome</t>
  </si>
  <si>
    <t xml:space="preserve">https://domeapi.io</t>
  </si>
  <si>
    <t xml:space="preserve">https://www.ycombinator.com/companies/dome</t>
  </si>
  <si>
    <t xml:space="preserve">AI research agents that help retail traders decide what to trade.</t>
  </si>
  <si>
    <t xml:space="preserve">Ekpa</t>
  </si>
  <si>
    <t xml:space="preserve">https://goekpa.com/</t>
  </si>
  <si>
    <t xml:space="preserve">https://www.ycombinator.com/companies/ekpa</t>
  </si>
  <si>
    <t xml:space="preserve">Cross-border payments for exporters of physical goods.</t>
  </si>
  <si>
    <t xml:space="preserve">HEVN, inc</t>
  </si>
  <si>
    <t xml:space="preserve">https://gethevn.com</t>
  </si>
  <si>
    <t xml:space="preserve">https://www.ycombinator.com/companies/hevn-inc</t>
  </si>
  <si>
    <t xml:space="preserve">Liability insurance for companies that deploy AI agents.</t>
  </si>
  <si>
    <t xml:space="preserve">Klaimee</t>
  </si>
  <si>
    <t xml:space="preserve">https://www.klaimee.ai</t>
  </si>
  <si>
    <t xml:space="preserve">https://www.ycombinator.com/companies/klaimee</t>
  </si>
  <si>
    <t xml:space="preserve">Lets people outside the US trade US stocks.</t>
  </si>
  <si>
    <t xml:space="preserve">Mochatrade</t>
  </si>
  <si>
    <t xml:space="preserve">https://www.mochatrade.com</t>
  </si>
  <si>
    <t xml:space="preserve">https://www.ycombinator.com/companies/mochatrade</t>
  </si>
  <si>
    <t xml:space="preserve">A global bank account built on stablecoins (digital dollars).</t>
  </si>
  <si>
    <t xml:space="preserve">SpotPay</t>
  </si>
  <si>
    <t xml:space="preserve">https://www.spotpay.ai/</t>
  </si>
  <si>
    <t xml:space="preserve">https://www.ycombinator.com/companies/spotpay</t>
  </si>
  <si>
    <t xml:space="preserve">A hedge fund where AI researches and makes every trade.</t>
  </si>
  <si>
    <t xml:space="preserve">Standard Signal</t>
  </si>
  <si>
    <t xml:space="preserve">https://standardsignal.com</t>
  </si>
  <si>
    <t xml:space="preserve">https://www.ycombinator.com/companies/standard-signal</t>
  </si>
  <si>
    <t xml:space="preserve">A platform to invest in collectibles such as sports and trading cards.</t>
  </si>
  <si>
    <t xml:space="preserve">tash</t>
  </si>
  <si>
    <t xml:space="preserve">https://www.tradetash.com</t>
  </si>
  <si>
    <t xml:space="preserve">https://www.ycombinator.com/companies/tash</t>
  </si>
  <si>
    <t xml:space="preserve">Handles global payments, billing and tax for software companies selling across borders. Also in Google's 2026 India accelerator.</t>
  </si>
  <si>
    <t xml:space="preserve">Dodo Payments</t>
  </si>
  <si>
    <t xml:space="preserve">A social trading app with tournaments and leagues.</t>
  </si>
  <si>
    <t xml:space="preserve">GameStock</t>
  </si>
  <si>
    <t xml:space="preserve">$2M</t>
  </si>
  <si>
    <t xml:space="preserve">New York, USA</t>
  </si>
  <si>
    <t xml:space="preserve">An AI personal finance app that shows income, spending, investments and loans together.</t>
  </si>
  <si>
    <t xml:space="preserve">Tribe Money</t>
  </si>
  <si>
    <t xml:space="preserve">Infrastructure for leveraged trading of any asset using decentralised finance.</t>
  </si>
  <si>
    <t xml:space="preserve">Derpetual</t>
  </si>
  <si>
    <t xml:space="preserve">Poland (fellow's location)</t>
  </si>
  <si>
    <t xml:space="preserve">AI research on every US-listed stock, including tiny companies. The founder is 15.</t>
  </si>
  <si>
    <t xml:space="preserve">EveryTicker</t>
  </si>
  <si>
    <t xml:space="preserve">Sammamish, WA, USA (fellow's location)</t>
  </si>
  <si>
    <t xml:space="preserve">Buying, credit and workflow tools for small businesses in underserved parts of Brazil.</t>
  </si>
  <si>
    <t xml:space="preserve">Praso</t>
  </si>
  <si>
    <t xml:space="preserve">Recife, Brazil (fellow's location)</t>
  </si>
  <si>
    <t xml:space="preserve">Text a money expert instead of using a budgeting app.</t>
  </si>
  <si>
    <t xml:space="preserve">Flip</t>
  </si>
  <si>
    <t xml:space="preserve">Insurance for the new risks AI agents create.</t>
  </si>
  <si>
    <t xml:space="preserve">Keythorn</t>
  </si>
  <si>
    <t xml:space="preserve">A bank for European defense and security companies.</t>
  </si>
  <si>
    <t xml:space="preserve">Leonidas</t>
  </si>
  <si>
    <t xml:space="preserve">Market infrastructure for exchanges that list perpetual futures.</t>
  </si>
  <si>
    <t xml:space="preserve">Mecone</t>
  </si>
  <si>
    <t xml:space="preserve">Payment cards and spending controls for creators.</t>
  </si>
  <si>
    <t xml:space="preserve">Spun Labs</t>
  </si>
  <si>
    <t xml:space="preserve">A workspace that helps scientists find and use research papers faster.</t>
  </si>
  <si>
    <t xml:space="preserve">AnswerThis</t>
  </si>
  <si>
    <t xml:space="preserve">https://answerthis.io/</t>
  </si>
  <si>
    <t xml:space="preserve">https://www.ycombinator.com/companies/answerthis</t>
  </si>
  <si>
    <t xml:space="preserve">Simulates human biology on computers to find new drugs.</t>
  </si>
  <si>
    <t xml:space="preserve">CellType</t>
  </si>
  <si>
    <t xml:space="preserve">https://www.celltype.com</t>
  </si>
  <si>
    <t xml:space="preserve">https://www.ycombinator.com/companies/celltype</t>
  </si>
  <si>
    <t xml:space="preserve">AI scientists that discover new materials for making chips.</t>
  </si>
  <si>
    <t xml:space="preserve">Discovered Materials</t>
  </si>
  <si>
    <t xml:space="preserve">https://discoveredmaterials.com</t>
  </si>
  <si>
    <t xml:space="preserve">https://www.ycombinator.com/companies/discovered-materials</t>
  </si>
  <si>
    <t xml:space="preserve">A cancer treatment being developed for dogs first, then people.</t>
  </si>
  <si>
    <t xml:space="preserve">Gamgee</t>
  </si>
  <si>
    <t xml:space="preserve">https://gamgee.io/</t>
  </si>
  <si>
    <t xml:space="preserve">https://www.ycombinator.com/companies/gamgee</t>
  </si>
  <si>
    <t xml:space="preserve">Lets scientists control lab instruments by typing plain language.</t>
  </si>
  <si>
    <t xml:space="preserve">Infera</t>
  </si>
  <si>
    <t xml:space="preserve">https://www.infera.bio</t>
  </si>
  <si>
    <t xml:space="preserve">https://www.ycombinator.com/companies/infera</t>
  </si>
  <si>
    <t xml:space="preserve">Robots that automate lab experiments.</t>
  </si>
  <si>
    <t xml:space="preserve">Neuromorphic</t>
  </si>
  <si>
    <t xml:space="preserve">https://www.neuromorphic.vision/</t>
  </si>
  <si>
    <t xml:space="preserve">https://www.ycombinator.com/companies/neuromorphic</t>
  </si>
  <si>
    <t xml:space="preserve">A much faster way to make chemicals.</t>
  </si>
  <si>
    <t xml:space="preserve">Rasyn</t>
  </si>
  <si>
    <t xml:space="preserve">https://www.rasyn.ai/</t>
  </si>
  <si>
    <t xml:space="preserve">https://www.ycombinator.com/companies/rasyn</t>
  </si>
  <si>
    <t xml:space="preserve">Automates the regulatory paperwork drug and medical-device companies must file.</t>
  </si>
  <si>
    <t xml:space="preserve">Scoop</t>
  </si>
  <si>
    <t xml:space="preserve">https://scooplabs.ai</t>
  </si>
  <si>
    <t xml:space="preserve">https://www.ycombinator.com/companies/scoop</t>
  </si>
  <si>
    <t xml:space="preserve">An AI co-scientist that speeds up discovery in life sciences, physics and chemistry.</t>
  </si>
  <si>
    <t xml:space="preserve">K-Dense</t>
  </si>
  <si>
    <t xml:space="preserve">AI that coordinates lab robots through one software layer.</t>
  </si>
  <si>
    <t xml:space="preserve">Cornucopia Biosciences</t>
  </si>
  <si>
    <t xml:space="preserve">An AI language-practice buddy inside the games kids already play.</t>
  </si>
  <si>
    <t xml:space="preserve">Aleph Lab</t>
  </si>
  <si>
    <t xml:space="preserve">http://alephlab.ai/</t>
  </si>
  <si>
    <t xml:space="preserve">https://www.ycombinator.com/companies/aleph-lab</t>
  </si>
  <si>
    <t xml:space="preserve">AI-based learning software for schools.</t>
  </si>
  <si>
    <t xml:space="preserve">Bloomy</t>
  </si>
  <si>
    <t xml:space="preserve">https://bloomylearning.com/</t>
  </si>
  <si>
    <t xml:space="preserve">https://www.ycombinator.com/companies/bloomy</t>
  </si>
  <si>
    <t xml:space="preserve">Learn a language by scrolling short videos.</t>
  </si>
  <si>
    <t xml:space="preserve">Doomersion</t>
  </si>
  <si>
    <t xml:space="preserve">https://doomersion.com/</t>
  </si>
  <si>
    <t xml:space="preserve">https://www.ycombinator.com/companies/doomersion</t>
  </si>
  <si>
    <t xml:space="preserve">A wearable that tracks skin health, like a fitness ring for skin.</t>
  </si>
  <si>
    <t xml:space="preserve">Lumeria</t>
  </si>
  <si>
    <t xml:space="preserve">https://lumeria.skin</t>
  </si>
  <si>
    <t xml:space="preserve">https://www.ycombinator.com/companies/lumeria</t>
  </si>
  <si>
    <t xml:space="preserve">An AI health coach in a phone app.</t>
  </si>
  <si>
    <t xml:space="preserve">https://nori.ai</t>
  </si>
  <si>
    <t xml:space="preserve">https://www.ycombinator.com/companies/nori</t>
  </si>
  <si>
    <t xml:space="preserve">An AI-powered world-building strategy game.</t>
  </si>
  <si>
    <t xml:space="preserve">Pax Historia</t>
  </si>
  <si>
    <t xml:space="preserve">https://www.paxhistoria.co</t>
  </si>
  <si>
    <t xml:space="preserve">https://www.ycombinator.com/companies/pax-historia</t>
  </si>
  <si>
    <t xml:space="preserve">Home-care technology for ageing parents and their families.</t>
  </si>
  <si>
    <t xml:space="preserve">Rhem Labs</t>
  </si>
  <si>
    <t xml:space="preserve">https://rhem.ai</t>
  </si>
  <si>
    <t xml:space="preserve">https://www.ycombinator.com/companies/rhem-labs</t>
  </si>
  <si>
    <t xml:space="preserve">An AI agent that prepares tourist visa applications, checks documents and books appointments for people with weak passports.</t>
  </si>
  <si>
    <t xml:space="preserve">Veeza AI</t>
  </si>
  <si>
    <t xml:space="preserve">https://veeza.ai</t>
  </si>
  <si>
    <t xml:space="preserve">https://www.ycombinator.com/companies/veeza-ai</t>
  </si>
  <si>
    <t xml:space="preserve">A Duolingo-style app for learning any subject.</t>
  </si>
  <si>
    <t xml:space="preserve">Wondering</t>
  </si>
  <si>
    <t xml:space="preserve">https://wondering.app</t>
  </si>
  <si>
    <t xml:space="preserve">https://www.ycombinator.com/companies/wondering</t>
  </si>
  <si>
    <t xml:space="preserve">AI-made entertainment and streaming for consumers.</t>
  </si>
  <si>
    <t xml:space="preserve">Zingroll</t>
  </si>
  <si>
    <t xml:space="preserve">A digital platform for reselling homes.</t>
  </si>
  <si>
    <t xml:space="preserve">HouseEazy</t>
  </si>
  <si>
    <t xml:space="preserve">A wearable that gives on-demand stress relief using sound-based nerve stimulation.</t>
  </si>
  <si>
    <t xml:space="preserve">InnerGize</t>
  </si>
  <si>
    <t xml:space="preserve">An AI matchmaker for campus dating that also arranges the date.</t>
  </si>
  <si>
    <t xml:space="preserve">Ditto</t>
  </si>
  <si>
    <t xml:space="preserve">$9.2M</t>
  </si>
  <si>
    <t xml:space="preserve">Berkeley, USA</t>
  </si>
  <si>
    <t xml:space="preserve">At-home beauty consultations where you pay only for the products you keep.</t>
  </si>
  <si>
    <t xml:space="preserve">Wingit</t>
  </si>
  <si>
    <t xml:space="preserve">$7M</t>
  </si>
  <si>
    <t xml:space="preserve">Gurugram, India</t>
  </si>
  <si>
    <t xml:space="preserve">A super app for Africa, starting with food delivery in Nigeria.</t>
  </si>
  <si>
    <t xml:space="preserve">Swoop</t>
  </si>
  <si>
    <t xml:space="preserve">Shopping that starts from a video you just watched.</t>
  </si>
  <si>
    <t xml:space="preserve">Cartsy</t>
  </si>
  <si>
    <t xml:space="preserve">A studio that builds consumer apps with AI.</t>
  </si>
  <si>
    <t xml:space="preserve">DRS</t>
  </si>
  <si>
    <t xml:space="preserve">A consumer app whose characters are AI that remember you.</t>
  </si>
  <si>
    <t xml:space="preserve">Fictional</t>
  </si>
  <si>
    <t xml:space="preserve">Explore a real place in a simulated world before moving there, starting with homes.</t>
  </si>
  <si>
    <t xml:space="preserve">Mirai</t>
  </si>
  <si>
    <t xml:space="preserve">A ring and earphones for talking to AI assistants hands-free. Also part of India's WTFund 2026 cohort.</t>
  </si>
  <si>
    <t xml:space="preserve">antimattr</t>
  </si>
  <si>
    <t xml:space="preserve">https://www.antimattr.one/project-mnemosyne</t>
  </si>
  <si>
    <t xml:space="preserve">https://www.ycombinator.com/companies/antimattr</t>
  </si>
  <si>
    <t xml:space="preserve">A web browser that does tasks for you.</t>
  </si>
  <si>
    <t xml:space="preserve">Aside</t>
  </si>
  <si>
    <t xml:space="preserve">https://aside.com</t>
  </si>
  <si>
    <t xml:space="preserve">https://www.ycombinator.com/companies/aside</t>
  </si>
  <si>
    <t xml:space="preserve">A tiny computer built only for talking to AI by voice.</t>
  </si>
  <si>
    <t xml:space="preserve">Button Computer</t>
  </si>
  <si>
    <t xml:space="preserve">https://buttoncomputer.com</t>
  </si>
  <si>
    <t xml:space="preserve">https://www.ycombinator.com/companies/button-computer</t>
  </si>
  <si>
    <t xml:space="preserve">A personal AI assistant you talk to through text messages.</t>
  </si>
  <si>
    <t xml:space="preserve">Caddy</t>
  </si>
  <si>
    <t xml:space="preserve">https://caddy.app/</t>
  </si>
  <si>
    <t xml:space="preserve">https://www.ycombinator.com/companies/caddy</t>
  </si>
  <si>
    <t xml:space="preserve">AI glasses without a camera.</t>
  </si>
  <si>
    <t xml:space="preserve">E1O</t>
  </si>
  <si>
    <t xml:space="preserve">https://e1o.com</t>
  </si>
  <si>
    <t xml:space="preserve">https://www.ycombinator.com/companies/e1o</t>
  </si>
  <si>
    <t xml:space="preserve">A to-do list that completes the tasks itself.</t>
  </si>
  <si>
    <t xml:space="preserve">Roma</t>
  </si>
  <si>
    <t xml:space="preserve">https://roma.app</t>
  </si>
  <si>
    <t xml:space="preserve">https://www.ycombinator.com/companies/roma</t>
  </si>
  <si>
    <t xml:space="preserve">AI that runs on your own device, knows your files and history, and does your work overnight.</t>
  </si>
  <si>
    <t xml:space="preserve">Sentient OS</t>
  </si>
  <si>
    <t xml:space="preserve">https://sentient-os.ai</t>
  </si>
  <si>
    <t xml:space="preserve">https://www.ycombinator.com/companies/sentient-os</t>
  </si>
  <si>
    <t xml:space="preserve">Lets you give commands to a computer by silent speech, without talking out loud.</t>
  </si>
  <si>
    <t xml:space="preserve">The Subvocal Company</t>
  </si>
  <si>
    <t xml:space="preserve">https://subvocal.company</t>
  </si>
  <si>
    <t xml:space="preserve">https://www.ycombinator.com/companies/the-subvocal-company</t>
  </si>
  <si>
    <t xml:space="preserve">Lets you tell your computer a goal instead of clicking through apps and menus.</t>
  </si>
  <si>
    <t xml:space="preserve">Alma</t>
  </si>
  <si>
    <t xml:space="preserve">A personal AI agent for busy people, starting with travel.</t>
  </si>
  <si>
    <t xml:space="preserve">Maestro</t>
  </si>
  <si>
    <t xml:space="preserve">A chief of staff for your household.</t>
  </si>
  <si>
    <t xml:space="preserve">Orbits</t>
  </si>
  <si>
    <t xml:space="preserve">A personal assistant built from years of your own context.</t>
  </si>
  <si>
    <t xml:space="preserve">Rollup</t>
  </si>
  <si>
    <t xml:space="preserve">An AI video editor: give it footage and a goal and it produces a first cut in minutes.</t>
  </si>
  <si>
    <t xml:space="preserve">Cardboard</t>
  </si>
  <si>
    <t xml:space="preserve">https://cardboard.ai</t>
  </si>
  <si>
    <t xml:space="preserve">https://www.ycombinator.com/companies/cardboard</t>
  </si>
  <si>
    <t xml:space="preserve">Interactive AI avatars that can talk on screen.</t>
  </si>
  <si>
    <t xml:space="preserve">Keyframe Labs</t>
  </si>
  <si>
    <t xml:space="preserve">https://keyframelabs.com</t>
  </si>
  <si>
    <t xml:space="preserve">https://www.ycombinator.com/companies/keyframe-labs</t>
  </si>
  <si>
    <t xml:space="preserve">A tool for making films with AI.</t>
  </si>
  <si>
    <t xml:space="preserve">Koyal</t>
  </si>
  <si>
    <t xml:space="preserve">https://koyal.ai</t>
  </si>
  <si>
    <t xml:space="preserve">https://www.ycombinator.com/companies/koyal</t>
  </si>
  <si>
    <t xml:space="preserve">An AI video editor.</t>
  </si>
  <si>
    <t xml:space="preserve">Narrative</t>
  </si>
  <si>
    <t xml:space="preserve">http://www.usenarrative.ai</t>
  </si>
  <si>
    <t xml:space="preserve">https://www.ycombinator.com/companies/usenarrative</t>
  </si>
  <si>
    <t xml:space="preserve">Lets a designer explore dozens of design directions with an AI agent.</t>
  </si>
  <si>
    <t xml:space="preserve">Rivet</t>
  </si>
  <si>
    <t xml:space="preserve">https://rivet.design/</t>
  </si>
  <si>
    <t xml:space="preserve">https://www.ycombinator.com/companies/rivet-design</t>
  </si>
  <si>
    <t xml:space="preserve">Automatic video editing for people who are not editors.</t>
  </si>
  <si>
    <t xml:space="preserve">Vyra</t>
  </si>
  <si>
    <t xml:space="preserve">https://usevyra.com</t>
  </si>
  <si>
    <t xml:space="preserve">https://www.ycombinator.com/companies/vyra</t>
  </si>
  <si>
    <t xml:space="preserve">AI product photos and virtual models for fashion and online-shopping brands.</t>
  </si>
  <si>
    <t xml:space="preserve">Ayna</t>
  </si>
  <si>
    <t xml:space="preserve">Make and edit music from text prompts.</t>
  </si>
  <si>
    <t xml:space="preserve">Soundverse AI</t>
  </si>
  <si>
    <t xml:space="preserve">A music studio in the browser where people make music together with an AI co-producer.</t>
  </si>
  <si>
    <t xml:space="preserve">Riffle</t>
  </si>
  <si>
    <t xml:space="preserve">An AI agent that turns raw footage into clips ready to post.</t>
  </si>
  <si>
    <t xml:space="preserve">Reelful</t>
  </si>
  <si>
    <t xml:space="preserve">Theme (tab name)</t>
  </si>
  <si>
    <t xml:space="preserve">YC's one-line description</t>
  </si>
  <si>
    <t xml:space="preserve">Full description</t>
  </si>
  <si>
    <t xml:space="preserve">Batch</t>
  </si>
  <si>
    <t xml:space="preserve">Location</t>
  </si>
  <si>
    <t xml:space="preserve">Team size</t>
  </si>
  <si>
    <t xml:space="preserve">YC industry</t>
  </si>
  <si>
    <t xml:space="preserve">YC page</t>
  </si>
  <si>
    <t xml:space="preserve">Absurd</t>
  </si>
  <si>
    <t xml:space="preserve">The production canvas for AI film teams</t>
  </si>
  <si>
    <t xml:space="preserve">Absurd is an online whiteboard for filmmakers working with AI. We use it for our own work: our Kalshi spot "Election Day" did 1M+ views, and our videos average 400K+ organic views. Try it at absurd.com</t>
  </si>
  <si>
    <t xml:space="preserve">Fall 2025</t>
  </si>
  <si>
    <t xml:space="preserve">B2B -&gt; Marketing</t>
  </si>
  <si>
    <t xml:space="preserve">https://absurd.com/</t>
  </si>
  <si>
    <t xml:space="preserve">https://www.ycombinator.com/companies/absurd</t>
  </si>
  <si>
    <t xml:space="preserve">AirCaps</t>
  </si>
  <si>
    <t xml:space="preserve">The AI copilot for in-person conversations.</t>
  </si>
  <si>
    <t xml:space="preserve">AirCaps is bringing AI assistance to in-person conversations. Our AI-copilot provides live captions, translations, AI meeting notes and insights for in-person conversations in real-time. It's deployed as an app for lightweight AR glasses so you can see visual information overlaid onto your field of vision. You can think of it like a Zoom AI meeting assistant or Granola, but for in-person conversations, and with the ability to proactively help you in real-time, not just after the conversation. We’re building the capture and intelligence layer for the 216 billion daily conversations that happen face-to-face. We’ve already processed 16,500 hours of real-world conversations and counting. Today, AirCaps assists with 11% of our users’ in-person conversations. We did $93K in revenue in October and grew 6.5x from September while spending &lt;$3K on marketing (and hit $70K in revenue in the first 2 weeks of November). Our power users average 6h+ daily usage and our day-30 retention is 91%. We previously went viral (75M+ views on TikTok, 150K+ followers) and have been featured by The New Yorker, WIRED, and Forbes. Madhav (CEO, Yale CS) has been building in audio and AR since age 13, starting with Google Glass apps and voice assistants for Raspberry Pis. He researched audio AI at the MIT Media Lab. Nirbhay (CTO, Cornell CS) built voice AI on smart glasses in high school and built conversational AI products as the first engineer at 2 YC startups.</t>
  </si>
  <si>
    <t xml:space="preserve">Consumer</t>
  </si>
  <si>
    <t xml:space="preserve">https://aircaps.com</t>
  </si>
  <si>
    <t xml:space="preserve">https://www.ycombinator.com/companies/aircaps</t>
  </si>
  <si>
    <t xml:space="preserve">AI employees for finance, starting with accounts receivable.</t>
  </si>
  <si>
    <t xml:space="preserve">We’re building AI employees for finance teams. They handle repetitive work across email and accounting systems - processing documents, following up on open items, reconciling records, and resolving exceptions while people retain approval and oversight.</t>
  </si>
  <si>
    <t xml:space="preserve">B2B -&gt; Finance and Accounting</t>
  </si>
  <si>
    <t xml:space="preserve">AI language buddy in the games kids love</t>
  </si>
  <si>
    <t xml:space="preserve">An AI companion that chats and plays with children inside games like Minecraft, helping them learn a new language while they play. Kids already spend hours each week in their favorite games, and now parents can turn that game time into learning time.</t>
  </si>
  <si>
    <t xml:space="preserve">Allus AI</t>
  </si>
  <si>
    <t xml:space="preserve">Transforming manufacturing with our next-gen Vision Foundation Model</t>
  </si>
  <si>
    <t xml:space="preserve">Allus builds next-gen vision foundation models that bring real intelligence to manufacturing. Enabling factories to see, understand, and improve production in real time.</t>
  </si>
  <si>
    <t xml:space="preserve">Atlanta, GA, USA</t>
  </si>
  <si>
    <t xml:space="preserve">Industrials -&gt; Manufacturing and Robotics</t>
  </si>
  <si>
    <t xml:space="preserve">https://allus.ai</t>
  </si>
  <si>
    <t xml:space="preserve">https://www.ycombinator.com/companies/allus-ai</t>
  </si>
  <si>
    <t xml:space="preserve">Automating claims processing workflows for health insurance payers.</t>
  </si>
  <si>
    <t xml:space="preserve">Amera automates claims processing for health insurance payers. We turn messy claim inputs (PDFs, bills, receipts, EDI and non-standard submissions) into structured data that plugs into existing systems. This cuts manual entry and exception handling, speeding up operations and reducing cost. We are already working with payers / plan administrators representing ~100k members, giving them access to more affordable care options.</t>
  </si>
  <si>
    <t xml:space="preserve">Fintech -&gt; Insurance</t>
  </si>
  <si>
    <t xml:space="preserve">Amika</t>
  </si>
  <si>
    <t xml:space="preserve">Infra to build your own software factory</t>
  </si>
  <si>
    <t xml:space="preserve">Amika is infra to build your software factory. We give your team sandboxed AI coding agents in the cloud: the same infrastructure Ramp, Coinbase, and Stripe built in-house. Kick off work from a web UI, CLI, Slack, or API. Use your preferred coding agent (Claude Code, Codex, etc.). Each agent understands your codebase, runs autonomously, and ships real PRs with live previews of the apps it changed. Use it as your daily driver or plug it into your own code-gen pipeline via API.</t>
  </si>
  <si>
    <t xml:space="preserve">B2B -&gt; Infrastructure</t>
  </si>
  <si>
    <t xml:space="preserve">https://www.amika.dev/</t>
  </si>
  <si>
    <t xml:space="preserve">https://www.ycombinator.com/companies/amika</t>
  </si>
  <si>
    <t xml:space="preserve">End-to-end workspace to accelerate scientific discovery</t>
  </si>
  <si>
    <t xml:space="preserve">AnswerThis is a scientific discovery platform used by over 200,000 researchers that reduces weeks of manual research work to hours. Instead of manually searching, reading, and organizing dozens of papers, researchers use AnswerThis to find the most relevant work, see how ideas are connected, and get comprehensive answers to complex scientific questions with line by line answers. This allows them to map research gaps, analyze trends, and draft literature reviews far faster, all while building a searchable library of their own research materials.</t>
  </si>
  <si>
    <t xml:space="preserve">Antigen</t>
  </si>
  <si>
    <t xml:space="preserve">Continuous offensive security for the enterprise.</t>
  </si>
  <si>
    <t xml:space="preserve">Antigen is an AI adversary for the enterprise. It maps, exploits, and secures your attack surface through nightly automated offensive testing and monthly human red team assessments. Every finding is delivered with traces, reproduction steps, and remediation directly in GitHub, Linear, or the Antigen Platform. We work with companies in financial services, healthcare, retail, and government where security is trust. We're backed by Lightspeed, DST Global, and Susa Ventures.</t>
  </si>
  <si>
    <t xml:space="preserve">B2B -&gt; Engineering, Product and Design</t>
  </si>
  <si>
    <t xml:space="preserve">https://antigen.sh/</t>
  </si>
  <si>
    <t xml:space="preserve">https://www.ycombinator.com/companies/antigen</t>
  </si>
  <si>
    <t xml:space="preserve">Anto Biosciences</t>
  </si>
  <si>
    <t xml:space="preserve">A Foundation Model for Microbial Communities.</t>
  </si>
  <si>
    <t xml:space="preserve">Anto is building a foundation model for microbial communities, making the gut microbiome computable for the first time. We predict drug toxicity and efficacy across diverse populations and fix drugs so they work for everyone — solving the hidden root cause of most drug failures. Founded by Arvid (Broad Institute of MIT and Harvard; Nature-published researcher who pioneered quality-aware, goal-directed sparsification) and David (Harvard Medical School Gastroenterology, J&amp;J), second-time founders who published the breakthrough at leading machine learning AI conferences and Nature.</t>
  </si>
  <si>
    <t xml:space="preserve">Healthcare</t>
  </si>
  <si>
    <t xml:space="preserve">https://www.anto.bio/</t>
  </si>
  <si>
    <t xml:space="preserve">https://www.ycombinator.com/companies/anto-biosciences</t>
  </si>
  <si>
    <t xml:space="preserve">The browser built to do real work for you</t>
  </si>
  <si>
    <t xml:space="preserve">Aside is an AI browser that completes real work across the websites you already use. It can sign in through your browser, work inside email, dashboards, internal tools, docs, and spreadsheets, and keep going when a task takes minutes or hours. Unlike agents that depend on integrations, Aside uses the web the way you do. Browsing history becomes local memory, so it knows which tools and context matter. Its password manager lets agents autofill credentials without exposing secrets to the AI. Sensitive actions like payments, posts, and messages wait for your approval. We achieved state-of-the-art on agentic browsing benchmarks, surpassing OpenAI and Anthropic's result- Aside ranked #1 across Mind2Web, Odyssey, bu-bench-v1.</t>
  </si>
  <si>
    <t xml:space="preserve">Aspect</t>
  </si>
  <si>
    <t xml:space="preserve">Intelligent media storage for creative teams.</t>
  </si>
  <si>
    <t xml:space="preserve">Aspect helps creative teams consolidate 5 media tools into one platform. We provide everything a media team needs: file ingest, local file streaming, review and approval, sharing, and archiving. Aspect workspaces come with an agent that has complete understanding of your asset library including comments and revisions. Ask the agent to complete any task in the background: searching for files, setting up folder structures, labeling and organizing footage, and much more. Check out https://aspect.inc/use-cases to see how different media teams use Aspect to deliver content faster.</t>
  </si>
  <si>
    <t xml:space="preserve">https://aspect.inc</t>
  </si>
  <si>
    <t xml:space="preserve">https://www.ycombinator.com/companies/aspect-inc</t>
  </si>
  <si>
    <t xml:space="preserve">AtlasGrid</t>
  </si>
  <si>
    <t xml:space="preserve">Accelerate Product Iteration</t>
  </si>
  <si>
    <t xml:space="preserve">AtlasGrid automatically builds a visual graph of your mobile app UI and displays analytics directly on your screens. Additionally, our fleet of AI-powered agents will continuously analyze thousands of mobile apps, gathering design insights and identifying growth opportunities + actionable product improvements.</t>
  </si>
  <si>
    <t xml:space="preserve">https://atlasgrid.ai</t>
  </si>
  <si>
    <t xml:space="preserve">https://www.ycombinator.com/companies/atlasgrid</t>
  </si>
  <si>
    <t xml:space="preserve">Automax.ai</t>
  </si>
  <si>
    <t xml:space="preserve">AI native real-estate appraisal firm</t>
  </si>
  <si>
    <t xml:space="preserve">Automax.ai does property appraisals faster and more transparent. Our mobile app uses LiDAR and computer vision to capture property details automatically, and our custom-trained AI agents combine that data with all the analysis and aggregation required to to generate a complete appraisal report in minutes. The result is a clear, grounded valuation, fully Fannie Mae &amp; Freddie Mac compliant — done in under 20 minutes from start to finish.</t>
  </si>
  <si>
    <t xml:space="preserve">Real Estate and Construction -&gt; Housing and Real Estate</t>
  </si>
  <si>
    <t xml:space="preserve">https://automax.ai</t>
  </si>
  <si>
    <t xml:space="preserve">https://www.ycombinator.com/companies/automax-ai</t>
  </si>
  <si>
    <t xml:space="preserve">Autonomous Technologies Group</t>
  </si>
  <si>
    <t xml:space="preserve">Superintelligent financial advisor</t>
  </si>
  <si>
    <t xml:space="preserve">Autonomous is a superintelligent financial advisor at 0% advisory fees. Today, managing your money means one of two bad options: DIY your money: You end up with accounts everywhere (401k, IRAs, brokerage, crypto, savings, equity, secondaries). Your spreadsheet is always wrong. You make expensive mistakes because this isn't your full-time job. Hire a financial advisor: They'll manage your money and charge 1-2% of assets annually. Run that math over multiple decades and you're handing over half your net worth to fees. Neither path can economically deliver the sophisticated, personalized strategies the ultra-wealthy use to compound wealth: strategic tax-loss harvesting across individual securities, systematic risk management, portfolio-backed borrowing to defer capital gains, access to alternatives, etc. These aren't secret – they're just economically impossible to deliver at scale through traditional human advisors. Robos were supposed to fix this, but they were designed in a pre-AI world. In practice they just manage cookie-cutter portfolios. They don’t coordinate across your 401(k), taxable accounts, mortgage, equity, and cash flow, they don’t help with real decisions like job offers, windfalls, or concentrated stock, and they don’t deliver institutional strategies. That’s why, even after a decade plus, the biggest robos are still &lt;$100B AUM while old-school advisors like Raymond James / Edward Jones sit on trillions. We’re doing for financial advising what Robinhood did for brokerages. Think of it as a full-stack, AI-native wealth strategist that brings billionaire-style playbooks to ordinary investors. Autonomous is built around a frontier-scale reasoning engine—an AI that perceives global events as they unfold, understanding their deeper implications for markets and and most importantly, how these events will impact your investments.</t>
  </si>
  <si>
    <t xml:space="preserve">Fintech</t>
  </si>
  <si>
    <t xml:space="preserve">https://becomeautonomous.com/</t>
  </si>
  <si>
    <t xml:space="preserve">https://www.ycombinator.com/companies/autonomous-technologies-group</t>
  </si>
  <si>
    <t xml:space="preserve">Axial</t>
  </si>
  <si>
    <t xml:space="preserve">Accelerated Physics Kernels for Computational Engineering</t>
  </si>
  <si>
    <t xml:space="preserve">Axial develops accelerated software for geometric computation, physical simulation, and manufacturing. Our GPU-native kernels provide programmable building blocks for the computational engineering cycle. They make existing workflows faster and less expensive while enabling engineering teams to explore substantially larger design spaces.</t>
  </si>
  <si>
    <t xml:space="preserve">https://axialcompute.com</t>
  </si>
  <si>
    <t xml:space="preserve">https://www.ycombinator.com/companies/axial</t>
  </si>
  <si>
    <t xml:space="preserve">Bluma</t>
  </si>
  <si>
    <t xml:space="preserve">Canva for short-form video ads</t>
  </si>
  <si>
    <t xml:space="preserve">Bluma is the first AI short form content engine. In a post-AI world, attention is the most valuable commodity. Social media is only growing faster and faster, and we're still early. We automate your entire consumer marketing strategy by cloning your competitor's viral videos. Everything that a growth team would plan, script, produce, and edit, Bluma can clone end-to-end and at scale.</t>
  </si>
  <si>
    <t xml:space="preserve">https://www.getbluma.com</t>
  </si>
  <si>
    <t xml:space="preserve">https://www.ycombinator.com/companies/bluma</t>
  </si>
  <si>
    <t xml:space="preserve">Voice AI to enable India's next billion</t>
  </si>
  <si>
    <t xml:space="preserve">Bolna handles the complexity of voice infra, so enterprises can automate calls faster, better, and cheaper, at scale Bolna is a Voice AI Orchestration platform purpose-built for Indian enterprises. Businesses in India run tens of thousands of calls every day - across sales, support, collections, recruitment, and more. Bolna gives them the power to build and deploy Voice AI Agents directly from their transcripts and FAQs, so they can start automating calls immediately. With Bolna, enterprises get: 1. Full control over agent intelligence, tone, and workflows 2. Cost efficiency at scale with smart routing across providers and price points 3. Enterprise-grade performance on latency, interruptions, multi-language, and multi-accent understanding</t>
  </si>
  <si>
    <t xml:space="preserve">B2B</t>
  </si>
  <si>
    <t xml:space="preserve">Boom AI</t>
  </si>
  <si>
    <t xml:space="preserve">AI agents that recover lost revenue through real conversations.</t>
  </si>
  <si>
    <t xml:space="preserve">Boom reaches out to your customers before you lose them. We run proactive outbound conversations at scale: recovering churned users, re-engaging drop-offs, and protecting revenue you thought was gone. AI agents hold real conversations with your customers over SMS, email, WhatsApp, or phone, in their language, on the channel they actually answer. Every month, companies lose 5-15% of revenue to churn, and more walks out through abandoned signups and failed onboarding. The tools built to fix this don't work. Win-back emails get ignored. Cancel flows only catch people at the door. Hiring humans doesn't scale. Boom does the one thing that works: a real conversation. 1,000x the reach of manual outreach, and the customer can reply.</t>
  </si>
  <si>
    <t xml:space="preserve">Mexico City, CDMX, Mexico</t>
  </si>
  <si>
    <t xml:space="preserve">https://useboom.ai</t>
  </si>
  <si>
    <t xml:space="preserve">https://www.ycombinator.com/companies/boom-ai</t>
  </si>
  <si>
    <t xml:space="preserve">Bravi</t>
  </si>
  <si>
    <t xml:space="preserve">AI operating system for home improvement manufacturers</t>
  </si>
  <si>
    <t xml:space="preserve">Bravi helps manufacturers of windows, doors, and other home improvement products turn fragmented technical and commercial data into tools their teams can use instantly. Our AI platform helps sales, customer service, and field teams answer technical questions, configure complex products, generate quotes, and retrieve order information by connecting to existing documentation, catalogs, ERP, CRM, and pricing systems. Bravi is already live with leading installers and manufacturers across Europe and the US, turning missed demand into revenue.</t>
  </si>
  <si>
    <t xml:space="preserve">https://www.bravi.app/</t>
  </si>
  <si>
    <t xml:space="preserve">https://www.ycombinator.com/companies/bravi</t>
  </si>
  <si>
    <t xml:space="preserve">Brickanta</t>
  </si>
  <si>
    <t xml:space="preserve">Agentic AI for Society Builders</t>
  </si>
  <si>
    <t xml:space="preserve">Brickanta – agentic AI for society builders. Hundreds of construction-specific AI agents for project analysis, insights, tenders, procurement, and more. Combine the latest AI technology with your organization's project data, templates, and workflows to identify risks and opportunities early and produce better decision support. Brickanta has raised $8 million from leading AI, construction, and real estate investors behind companies like OpenAI/ChatGPT, Airbnb, Klarna, Spotify, and Plangrid-Autodesk, as well as star investors such as Mario Götze, Anton Osika, and Northzone (see movie and press). The founding team has been building and implementing AI in construction and industry since 2018 at companies such as ABB, Fabege, Husqvarna, IKEA and Konecranes.</t>
  </si>
  <si>
    <t xml:space="preserve">https://www.brickanta.com</t>
  </si>
  <si>
    <t xml:space="preserve">https://www.ycombinator.com/companies/brickanta</t>
  </si>
  <si>
    <t xml:space="preserve">AI property manager for landlords and estate agents</t>
  </si>
  <si>
    <t xml:space="preserve">We've built an AI property manager that automates maintenance requests, handling tenant calls and messages 24/7, following up by chasing contractors and resolving issues. We're based in London, but have over 10 customers throughout the world, from San Francisco to Dubai. We have a reliable sales pipeline, including a &gt;$1m cARR enterprise contract. Since our formation 6 months ago, we have raised over $3M in funding. Ismail, co-founder &amp; CEO, is an ex-Founder at LiveLink AI, where he raised $3M, growing the platform to editing 150k videos per month. He also built his own prop firm to $500k ARR. Elias, co-founder &amp; CTO, was an early engineer at a YC backed company, acquired by Google. While a senior engineer at Google for 5 years, he took the product from $50k ARR to &gt;$100m. CS at Bristol, MBA from Imperial.</t>
  </si>
  <si>
    <t xml:space="preserve">Bron</t>
  </si>
  <si>
    <t xml:space="preserve">TikTok for Sports Trading</t>
  </si>
  <si>
    <t xml:space="preserve">Bron is the Tiktok for sports betting. Scroll through recommended bets across 150+ sportsbooks and prediction markets and place them automatically. Download Bron on the App Store here: https://apps.apple.com/us/app/bron-ai-sports-analysis/id6761323087</t>
  </si>
  <si>
    <t xml:space="preserve">https://apps.apple.com/app/apple-store/id6761323087?pt=128695024&amp;ct=anish&amp;mt=</t>
  </si>
  <si>
    <t xml:space="preserve">https://www.ycombinator.com/companies/bron</t>
  </si>
  <si>
    <t xml:space="preserve">Your Personal AI for everyday work. Lives in your texts.</t>
  </si>
  <si>
    <t xml:space="preserve">If you’ve got a lot to do, we believe AI can make things feel doable. Caddy is our core product: a Personal AI that helps you stay on top of everything going on. All you have to do is text. On overwhelming days, it’s super simple to just drop any task in a text thread, and Caddy will help you handle it. Caddy also keeps an eye on your calendars, chats and tasks to make sure you stay focused on what matters. If something needs you, Caddy will nudge you, or can just do it if you don’t have time. The best part is, no two Caddys are alike. The more you use Caddy, the more it learns your vibe, how you work, and what you care about.</t>
  </si>
  <si>
    <t xml:space="preserve">Casey is an AI-native commercial insurance brokerage</t>
  </si>
  <si>
    <t xml:space="preserve">Casey is an AI-native commercial insurance brokerage. Our insurance brokers focus on client relationships and closing business, whilst our AI handles all the operational work behind the scenes.</t>
  </si>
  <si>
    <t xml:space="preserve">Clad Labs</t>
  </si>
  <si>
    <t xml:space="preserve">AI support done right</t>
  </si>
  <si>
    <t xml:space="preserve">Clad turns Slack, Teams, and email into one organized support queue. Agents investigate and resolve hard tickets the way a dedicated hire would, and every resolved conversation becomes knowledge, written up automatically.</t>
  </si>
  <si>
    <t xml:space="preserve">https://useclad.ai</t>
  </si>
  <si>
    <t xml:space="preserve">https://www.ycombinator.com/companies/clad-labs</t>
  </si>
  <si>
    <t xml:space="preserve">AI clerks that automate your payables</t>
  </si>
  <si>
    <t xml:space="preserve">Fully automate your accounts payable with the most advanced AI clerks in the world. Then ask them anything about your spend. They build custom reports, find savings, and tell you exactly when to pay to protect cash flow and capture discounts. Clerked is the only AP platform that lets you manage your payables entirely from your phone, in Teams, Slack or iMessage. See it work at clerked.ai</t>
  </si>
  <si>
    <t xml:space="preserve">Clicks Health</t>
  </si>
  <si>
    <t xml:space="preserve">AI agents for your healthcare back-office operations.</t>
  </si>
  <si>
    <t xml:space="preserve">Clicks Health builds AI agents that automate back-office operations for RCM companies and healthcare providers. Our agents work across EHRs, payer portals, desktop applications, and legacy systems, following existing processes, handling exceptions, and escalating when human judgment is needed. Backed by Y Combinator, Clicks helps teams improve accuracy, shorten turnaround times, and reduce operating costs, with SOC 2 Type II and HIPAA compliance built in.</t>
  </si>
  <si>
    <t xml:space="preserve">B2B -&gt; Productivity</t>
  </si>
  <si>
    <t xml:space="preserve">https://www.goclicks.ai/</t>
  </si>
  <si>
    <t xml:space="preserve">https://www.ycombinator.com/companies/clicks-health</t>
  </si>
  <si>
    <t xml:space="preserve">Coasts</t>
  </si>
  <si>
    <t xml:space="preserve">Localhost service isolation and orchestration for git worktrees</t>
  </si>
  <si>
    <t xml:space="preserve">A Coast (containerized host) is a local development runtime. Coasts let you run multiple isolated environments for the same project on one machine. As AI coding agents increasingly work in parallel across git worktrees, developers hit painful conflicts — clashing ports, duplicated databases, and fragile per-branch setup. Coasts solve this by giving each worktree its own fully isolated runtime, so multiple agents can build and test side by side without stepping on each other.</t>
  </si>
  <si>
    <t xml:space="preserve">https://coasts.dev</t>
  </si>
  <si>
    <t xml:space="preserve">https://www.ycombinator.com/companies/coasts</t>
  </si>
  <si>
    <t xml:space="preserve">The AI Reservation Team for Hotel Groups</t>
  </si>
  <si>
    <t xml:space="preserve">€5,000 in additional bookings. In 4 weeks. For a 53-room hotel. We help hotel groups turn missed calls into bookings. This it how it works: - They send their missed calls to us. - Our AI answers and takes the booking. - The booking goes right into their PMS. Even with call centers and central reservation departments they are still losing 5% of calls. That is a seven figure revenue leak. Why us? We used to build software that can’t fail for massive companies. We started Codyco after a friend told us how much money he was losing from missed calls. We built the first version just for him. Now we give hotel groups the reliable AI they need, so they never lose a booking on the phone again.</t>
  </si>
  <si>
    <t xml:space="preserve">ComplyDo</t>
  </si>
  <si>
    <t xml:space="preserve">Global Compliance for Enterprises</t>
  </si>
  <si>
    <t xml:space="preserve">The most flexible enterprise compliance engine that makes GRC teams 10x more efficient. Already trusted by global leaders and the largest EU enterprises. What it does: - Extracts requirements from any file - Maps them to controls and policies - Shows gaps and monitors changes - Advises on maturity and next steps</t>
  </si>
  <si>
    <t xml:space="preserve">B2B -&gt; Legal</t>
  </si>
  <si>
    <t xml:space="preserve">https://www.complydo.io/</t>
  </si>
  <si>
    <t xml:space="preserve">https://www.ycombinator.com/companies/complydo</t>
  </si>
  <si>
    <t xml:space="preserve">The coding agent that actually collaborates with you</t>
  </si>
  <si>
    <t xml:space="preserve">Compyle is a less autonomous coding agent that asks before it acts. We're like Cursor or Claude Code - but you won't need to rewrite your codebase every time you use it for more than a small task. We built Compyle because we were frustrated with the direction other coding agents are headed. They're all racing to be more autonomous, running for hours without human input. This doesn't work for real production code. When agents run autonomously, they make countless small decisions that pile up in your codebase. Engineers lose ownership - they don't know what was implemented, can't effectively debug or maintain it, and struggle to build on top of it. The code becomes a black box, and they're forced to throw it away. Compyle keeps engineers in the driver's seat.</t>
  </si>
  <si>
    <t xml:space="preserve">Cortex AI</t>
  </si>
  <si>
    <t xml:space="preserve">Large-scale real-world robot &amp; human data for embodied AI</t>
  </si>
  <si>
    <t xml:space="preserve">Cortex AI builds the world’s most diverse and large-scale real-world workplace robot &amp; egocentric dataset — where the physical world becomes the next training and evaluation set for embodied AI. We power frontier labs developing robotics foundation models and general-purpose robots by providing the data they need: 1️⃣ Egocentric Data — real-workplace human video with hand/body pose, depth, and subtask labels. 2️⃣ Robot Data — trajectories collected from manipulators and humanoids in real industry settings. 3️⃣ Human-in-the-Loop Rollouts &amp; Evals — real-world deployments with remote operators who recover robots when they fail, capturing data that feeds back into training and continuously improves models. Additionally, through the Cortex Marketplace, workplaces get paid to host data-collection and evaluation sessions, while labs access the in-the-wild data that truly matters. This draws on Lucas’s previous experience as co-founder of Carousell, a C2C marketplace that scaled to a $1B+ valuation.</t>
  </si>
  <si>
    <t xml:space="preserve">https://cortexrobot.ai/</t>
  </si>
  <si>
    <t xml:space="preserve">https://www.ycombinator.com/companies/cortex-ai</t>
  </si>
  <si>
    <t xml:space="preserve">AI Tax prep and accounting software for CPA firms</t>
  </si>
  <si>
    <t xml:space="preserve">Cranston is AI tax prep and bookkeeping for CPA firms. Our tax agents prepare returns the way a strong staff accountant would: they read the source documents, work the return in your tax software, and hand your reviewer a return that holds up, with workpapers attached. Our bookkeeping agents keep client books current all year, so tax season starts from clean numbers instead of cleanup. Prep and books are the start. We're building Cranston into the system a firm runs on: the place where prep, review, client requests, and the rest of the practice get done.</t>
  </si>
  <si>
    <t xml:space="preserve">Excel AI analyst for Power Users</t>
  </si>
  <si>
    <t xml:space="preserve">Crunched is the Excel AI analyst for power users - in consulting, investment banking, and private equity. It error-checks workbooks end-to-end, builds models from scratch, and handles grunt work like extracting and linking data from IMs to template models - all within Excel so teams can review and iterate as usual. Agents struggle with tabular data - getting reliable, multi-step execution over thousands of interlinked formulas, sheets, and ranges is hard. Making Crunched good enough for people who live in Excel means knowing the pain points deeply. Michael and Philip has 10,000+ hours in Excel across consulting and finance. Markus and Lars bring deep expertise in scaling AI and enterprise solutions. We've had easy access to first customers and are already live with firms across six European countries - we now plan to expand into the US. With &gt;1bn total Excel users, we focus on the top 2%, highest-value Excel users globally. We're solving one pain point at a time to create a product that doesn't just look good in a demo but actually works in production. Excel is here to stay, but the way experts model is fundamentally changing - with Crunched.</t>
  </si>
  <si>
    <t xml:space="preserve">dari.dev</t>
  </si>
  <si>
    <t xml:space="preserve">The Routing Layer for AI Agents</t>
  </si>
  <si>
    <t xml:space="preserve">We let developers run more agents while keeping your token bill low. We train custom models to determine how we can maintain performance while reducing your token bill. Integrate into your own apps, or use our router with Claude Code, Codex, or any agent of your choice.</t>
  </si>
  <si>
    <t xml:space="preserve">https://dari.dev</t>
  </si>
  <si>
    <t xml:space="preserve">https://www.ycombinator.com/companies/daridev</t>
  </si>
  <si>
    <t xml:space="preserve">Darwin</t>
  </si>
  <si>
    <t xml:space="preserve">Robots to build civilization</t>
  </si>
  <si>
    <t xml:space="preserve">Darwin Robotics creates general-purpose robots to build and maintain the machines civilization runs on. We're starting with AI infrastructure, where skilled technicians perform a long tail of physical work across assembly, installation, commissioning, and maintenance. Our robots learn new tasks from demonstrations rather than being explicitly programmed for each workflow. First deployments are planned for early 2027.</t>
  </si>
  <si>
    <t xml:space="preserve">https://darwinrobotics.ai</t>
  </si>
  <si>
    <t xml:space="preserve">https://www.ycombinator.com/companies/darwin</t>
  </si>
  <si>
    <t xml:space="preserve">Deeptrace</t>
  </si>
  <si>
    <t xml:space="preserve">AI agents for on-call</t>
  </si>
  <si>
    <t xml:space="preserve">At Deeptrace, we’re building AI agents that investigate and resolve production alerts end-to-end. Deeptrace cuts through the noise, pinpoints root causes instantly, and gives engineering teams back what they need most: the freedom to build instead of firefighting. In production, we're already seeing a reduction in time spent triaging, investigating, and resolving alerts with some of the fastest growing companies in the world.</t>
  </si>
  <si>
    <t xml:space="preserve">https://deeptrace.com/</t>
  </si>
  <si>
    <t xml:space="preserve">https://www.ycombinator.com/companies/deeptrace</t>
  </si>
  <si>
    <t xml:space="preserve">The full-stack AI financial audit firm</t>
  </si>
  <si>
    <t xml:space="preserve">Automate internal auditing (planning, testing, documenting) to comply better with financial regulations. Denki performs audit work with 99% software, 1% services: ✔️ Works on existing systems (e.g. Auditboard, Workiva, ERPs) ✔️ Automates Control processes (e.g. collects evidence, runs walkthrough interviews, tests) ✔️ Records every step for traceability (workpapers w/ full audit trace) Focused on SOX programs and financial regulations (SEC Rules etc.)</t>
  </si>
  <si>
    <t xml:space="preserve">Digipals</t>
  </si>
  <si>
    <t xml:space="preserve">The future of Social in the age of AI</t>
  </si>
  <si>
    <t xml:space="preserve">Social networks are dead. Social media became more media than social. My friends aren't on social media anymore - it's one third ads, one third content from strangers, and one third AI slop. Our social lives are fragmented across dozens of different apps - iMessage, WhatsApp, Find My, Partiful, and Venmo. Digipals is the first AI-native social operating system that improves our relationships with friends. We built ambient AI agents that use social context from our location, calendar, and photos to take action and write code in our group chats. We are the last social platform anyone will ever need. Launch Video https://youtu.be/KW2tjLl6sxM</t>
  </si>
  <si>
    <t xml:space="preserve">Consumer -&gt; Social</t>
  </si>
  <si>
    <t xml:space="preserve">https://www.digipals.app/</t>
  </si>
  <si>
    <t xml:space="preserve">https://www.ycombinator.com/companies/digipals</t>
  </si>
  <si>
    <t xml:space="preserve">DiligenceSquared</t>
  </si>
  <si>
    <t xml:space="preserve">AI-powered market due diligence for investment decisions</t>
  </si>
  <si>
    <t xml:space="preserve">DiligenceSquared delivers AI-powered market due diligence for investment decisions - like the $500k McKinsey reports, but automated, auditable, and at a fraction of the cost. When Private Equity funds evaluate deals, they pay firms like McKinsey, BCG, and Bain $500K-$1M for market due diligence. The process takes weeks, and the output is a static PowerPoint that's impossible to audit. A single large-cap PE fund can spend &gt;$30M annually on this and the total market is $10B per year. Our AI agents conduct expert interviews and synthesize insights with every claim linked to source transcripts. No black box, no "trust me" slides, and no 10x mark-up for human labor. Frederik bought these reports as a Principal at Blackstone. Soren sold them as a Principal at BCG. Harshil is a repeat founder and former Software Engineer at Google. We've seen both sides and know what matters in due diligence - and now we automate it. Our clients already include 8 leading private equity funds with over $2.4 trillion in combined AUM.</t>
  </si>
  <si>
    <t xml:space="preserve">B2B -&gt; Analytics</t>
  </si>
  <si>
    <t xml:space="preserve">https://diligencesquared.com/</t>
  </si>
  <si>
    <t xml:space="preserve">https://www.ycombinator.com/companies/diligencesquared-inc</t>
  </si>
  <si>
    <t xml:space="preserve">A unified API for prediction markets, like Kalshi and Polymarket</t>
  </si>
  <si>
    <t xml:space="preserve">Dome makes it easy to build on prediction markets like Polymarket and Kalshi. We provide the developer infrastructure to access, analyze, and build on prediction markets. With our unified API, developers can access live and historical data, including granular datasets not available natively, across multiple platforms at once. Dome makes it simple to trade, embed market data into products, and deploy strategies across multiple platforms through one interface.</t>
  </si>
  <si>
    <t xml:space="preserve">Efference</t>
  </si>
  <si>
    <t xml:space="preserve">https://efference.ai</t>
  </si>
  <si>
    <t xml:space="preserve">https://www.ycombinator.com/companies/efference</t>
  </si>
  <si>
    <t xml:space="preserve">Exonic</t>
  </si>
  <si>
    <t xml:space="preserve">Exonic is an AI-native cell and gene therapeutics company.</t>
  </si>
  <si>
    <t xml:space="preserve">We program DNA sequences to be context-aware, unlocking new kinds of genetic therapies.</t>
  </si>
  <si>
    <t xml:space="preserve">Healthcare -&gt; Drug Discovery and Delivery</t>
  </si>
  <si>
    <t xml:space="preserve">https://exonic.ai</t>
  </si>
  <si>
    <t xml:space="preserve">https://www.ycombinator.com/companies/exonic</t>
  </si>
  <si>
    <t xml:space="preserve">Expected Parrot</t>
  </si>
  <si>
    <t xml:space="preserve">Simulate your customers with AI agents</t>
  </si>
  <si>
    <t xml:space="preserve">Expected Parrot helps companies simulate their customers with AI agents to explore pricing, product, marketing, communications and other scenarios at scale. Our open-source library and no-code web app let you design custom agent personas and conduct interviews and surveys with them using LLMs of your choice to generate results and reports. Everything is cached and reproducible, and you can send the same surveys to human respondents to validate results in the same interface.</t>
  </si>
  <si>
    <t xml:space="preserve">https://www.expectedparrot.com</t>
  </si>
  <si>
    <t xml:space="preserve">https://www.ycombinator.com/companies/expected-parrot</t>
  </si>
  <si>
    <t xml:space="preserve">Lovable for mobile apps</t>
  </si>
  <si>
    <t xml:space="preserve">Fastshot is a no-code mobile development platform. Our mission is to "Democratize mobile app creation with AI" Anyone can develop a mobile app from idea to App Stores within minutes just by chatting with AI. Start at https://fastshot.ai/ai-app-builder</t>
  </si>
  <si>
    <t xml:space="preserve">Fernstone</t>
  </si>
  <si>
    <t xml:space="preserve">AI-native insurance brokerage.</t>
  </si>
  <si>
    <t xml:space="preserve">Fernstone is an AI-native insurance brokerage: we combine AI with licensed brokers to obtain complex insurance faster, and at better terms. Today, we manage risk for 500+ businesses in construction, security, and the trades.</t>
  </si>
  <si>
    <t xml:space="preserve">https://www.fernstone.com</t>
  </si>
  <si>
    <t xml:space="preserve">https://www.ycombinator.com/companies/fernstone</t>
  </si>
  <si>
    <t xml:space="preserve">Fifth Door</t>
  </si>
  <si>
    <t xml:space="preserve">Create and play games with AI</t>
  </si>
  <si>
    <t xml:space="preserve">Fifth Door unlocks the power of imagination by making it easy for everyone to create, share, and play games anywhere, with anyone. We exist to stimulate the creativity, connection, and joy that people get when they play games.</t>
  </si>
  <si>
    <t xml:space="preserve">Consumer -&gt; Gaming</t>
  </si>
  <si>
    <t xml:space="preserve">https://fifthdoor.com</t>
  </si>
  <si>
    <t xml:space="preserve">https://www.ycombinator.com/companies/fifth-door</t>
  </si>
  <si>
    <t xml:space="preserve">Flick</t>
  </si>
  <si>
    <t xml:space="preserve">We Handle AI. You Direct Films.</t>
  </si>
  <si>
    <t xml:space="preserve">Flick is an AI filmmaking software that lets people create Hollywood-level short films completely using AI end-to-end. There are many AI tools that can give you 8-second casual clips to post on social media, but when it comes to creating truly high-quality films with coherent storylines, consistent characters, and cinematic aesthetics, they don’t come close due to their lack of flexibility, creative control, and fragmented creative flow. Founded by an award-winning filmmaker and a founding engineer at Instagram, Flick defines an interface specifically designed for native AI filmmaking that feels natural and enables end-to-end creative flows. Think of Flick as Figma for AI filmmaking. There are 4 complete AI short films created using Flick that got 20+ awards in international film festivals already and our early creator residency community are generating several AI short films every week. We are also building a community where we produce our own AI films as well as collaborating with other well-known filmmakers to share their “behind-the-scenes” workflows as resuable templates to inspire users in our community. We not only build product, we also build world-class content. The whole film industry will be revolutionized by AI and our goal is to be “the product” that defines this category.</t>
  </si>
  <si>
    <t xml:space="preserve">Santa Barbara, CA, USA</t>
  </si>
  <si>
    <t xml:space="preserve">Consumer -&gt; Content</t>
  </si>
  <si>
    <t xml:space="preserve">https://flick.art</t>
  </si>
  <si>
    <t xml:space="preserve">https://www.ycombinator.com/companies/flick</t>
  </si>
  <si>
    <t xml:space="preserve">Forge Robotics</t>
  </si>
  <si>
    <t xml:space="preserve">A robotics intelligence system for metal fabrication</t>
  </si>
  <si>
    <t xml:space="preserve">Forge Robotics is changing the way that metal parts are fabricated. We are enabling a future where our intelligent robotic system completes all steps needed to take raw metal stock and transform it into fully welded parts. Beginning with welding, we are building a robot-mounted vision system and AI feature detection that creates a real-time 3D map and tells the arm exactly where to go at every instant.</t>
  </si>
  <si>
    <t xml:space="preserve">https://forge-robotics.com</t>
  </si>
  <si>
    <t xml:space="preserve">https://www.ycombinator.com/companies/forge-robotics</t>
  </si>
  <si>
    <t xml:space="preserve">Freeport Markets</t>
  </si>
  <si>
    <t xml:space="preserve">Trade Anything</t>
  </si>
  <si>
    <t xml:space="preserve">Freeport is a trading platform for pre-IPO shares, equities, crypto, and perpetual futures. Our AI analysts turn trusted social and financial media into a real-time feed of market-moving news and actionable trade ideas.</t>
  </si>
  <si>
    <t xml:space="preserve">Fintech -&gt; Consumer Finance</t>
  </si>
  <si>
    <t xml:space="preserve">https://www.freeportmarkets.com/</t>
  </si>
  <si>
    <t xml:space="preserve">https://www.ycombinator.com/companies/freeport-markets</t>
  </si>
  <si>
    <t xml:space="preserve">Goldbridge</t>
  </si>
  <si>
    <t xml:space="preserve">Ramp for Real Estate</t>
  </si>
  <si>
    <t xml:space="preserve">Goldbridge is building the financial operating system for the largest asset class in the world – real estate. More than $1T in rent flows through landlord bank accounts annually, with roughly a quarter locked in idle reserves and security deposits – and billions more leaking from unnecessary property expenses. And with $2.5T in real estate loans about to mature in 2027/28, property owners are desperate to boost their income ASAP. Goldbridge solves this problem by creating the first AI-powered banking platform for real estate owners. We are backed by Y Combinator and other world-class investors, and our founding team includes a 2x YC founder, former White House advisor, and 100-unit real estate owner/operator with deep industry expertise. Come help us redefine the future of real estate.</t>
  </si>
  <si>
    <t xml:space="preserve">https://www.goldbridgebanking.com/</t>
  </si>
  <si>
    <t xml:space="preserve">https://www.ycombinator.com/companies/goldbridge</t>
  </si>
  <si>
    <t xml:space="preserve">Helonic</t>
  </si>
  <si>
    <t xml:space="preserve">Automatic Construction Drawing Clash Detection</t>
  </si>
  <si>
    <t xml:space="preserve">We help construction teams eliminate rework, delays, and drawing confusion before construction starts. We analyze PDF plans, detect clashes and inconsistencies across disciplines, and create draft RFIs so teams can resolve issues early. This saves construction companies hundreds of hours and millions of dollars. What we do: - Automatically detect clashes, missing information, and drawing mismatches - Align architectural, structural, and MEP plans so everything matches across sheets - Generate draft RFIs from issues we find - Replace long page-turn meetings with instant drawing analysis - Reduce rework and prevent schedule delays before boots hit the ground We integrate with: Procore, Autodesk, email, and the tools teams already use Teams use us to: - Save hundreds of thousands to millions of dollars per project - Catch design and coordination issues early - Reduce RFIs and prevent field fixes - Keep projects on schedule with fewer surprises Contact us at founders@helonic.com</t>
  </si>
  <si>
    <t xml:space="preserve">Real Estate and Construction -&gt; Construction</t>
  </si>
  <si>
    <t xml:space="preserve">https://helonic.com</t>
  </si>
  <si>
    <t xml:space="preserve">https://www.ycombinator.com/companies/helonic</t>
  </si>
  <si>
    <t xml:space="preserve">hillclimb</t>
  </si>
  <si>
    <t xml:space="preserve">Training Data for Recursive Self-Improvement</t>
  </si>
  <si>
    <t xml:space="preserve">We work with frontier AI labs to help train their agents to become AI research scientists</t>
  </si>
  <si>
    <t xml:space="preserve">https://hillclimb.com</t>
  </si>
  <si>
    <t xml:space="preserve">https://www.ycombinator.com/companies/hillclimb</t>
  </si>
  <si>
    <t xml:space="preserve">Hypercubic</t>
  </si>
  <si>
    <t xml:space="preserve">Agentic AI for Mainframe Operations and Modernization</t>
  </si>
  <si>
    <t xml:space="preserve">Hypercubic is an AI-native platform for mainframe operations and modernization. We help enterprises understand and modernize their mission-critical legacy systems. About 70% of the Fortune 500 companies still rely on them to run their core business applications in banking, insurance, telecom, airlines, retail, and more. These systems, originally built in the 1960s–90s, still power trillions in global infrastructure today but have become increasingly opaque as original developers retire or leave the workforce. We are pioneering a new class of intelligence capable of understanding, reasoning about, and rebuilding the world’s foundational infrastructure. Learn more at hypercubic.ai</t>
  </si>
  <si>
    <t xml:space="preserve">https://www.hypercubic.ai/</t>
  </si>
  <si>
    <t xml:space="preserve">https://www.ycombinator.com/companies/hypercubic</t>
  </si>
  <si>
    <t xml:space="preserve">Your Company Brain</t>
  </si>
  <si>
    <t xml:space="preserve">Hyperspell is your Company Brain. AI agents are brilliant and clueless. They ace any test and still have no idea how your company works. Hyperspell connects your tools and synthesizes documents and conversations into a live, permissioned context graph. Any agent can read from it and write back to it like a filesystem, with every fact traced to source.</t>
  </si>
  <si>
    <t xml:space="preserve">Icarus</t>
  </si>
  <si>
    <t xml:space="preserve">Stratospheric birds for defense</t>
  </si>
  <si>
    <t xml:space="preserve">Icarus is building the modern-day U-2 spy plane. Our autonomous solar aircraft fly at 60,000 feet for weeks at a time, eventually months and years, above weather and below satellites. They deliver persistent intelligence and connectivity for the military at a fraction of the cost of existing systems. The stratosphere is the forgotten frontier.</t>
  </si>
  <si>
    <t xml:space="preserve">Industrials -&gt; Defense</t>
  </si>
  <si>
    <t xml:space="preserve">https://www.icarus.one/</t>
  </si>
  <si>
    <t xml:space="preserve">https://www.ycombinator.com/companies/icarus</t>
  </si>
  <si>
    <t xml:space="preserve">Imagine AI</t>
  </si>
  <si>
    <t xml:space="preserve">We reverse engineer B2B growth, starting with LinkedIn.</t>
  </si>
  <si>
    <t xml:space="preserve">Imagine AI is a research and software company reverse engineering modern B2B growth, starting with LinkedIn. We build coordinated content systems for executive teams, where the CEO, VP of Sales, and Head of Marketing post aligned narratives from a single calendar, producing compounding reach that single-founder posting cannot reach. 50+ B2B companies are now using Imagine AI, including MongoDB, Rippling, Slash, and Corgi Insurance. Customers have generated $31M in attributed revenue, 12M impressions, and 1,400 hours of executive time saved.</t>
  </si>
  <si>
    <t xml:space="preserve">B2B -&gt; Sales</t>
  </si>
  <si>
    <t xml:space="preserve">https://imagineai.me</t>
  </si>
  <si>
    <t xml:space="preserve">https://www.ycombinator.com/companies/imagine-ai</t>
  </si>
  <si>
    <t xml:space="preserve">item</t>
  </si>
  <si>
    <t xml:space="preserve">The AI-Native CRM that works for you</t>
  </si>
  <si>
    <t xml:space="preserve">item connects to all your customer tools, gathers and enriches context automatically, and becomes your company’s source of truth — one place where your team and your AI agents share the full picture to act autonomously. At the center is the Assistant — your sidekick for daily work. It can send follow-ups, research leads, or add deals with a simple prompt. No complex UI, drop-downs or fields, simply ask. For repeatable work, you build Agents that you can train like new hires, simply by writing documents that describe your processes. item Agents run business processes across sales, support, and account management autonomously.</t>
  </si>
  <si>
    <t xml:space="preserve">https://item.app</t>
  </si>
  <si>
    <t xml:space="preserve">https://www.ycombinator.com/companies/item</t>
  </si>
  <si>
    <t xml:space="preserve">Jarmin</t>
  </si>
  <si>
    <t xml:space="preserve">AI Employees for human-level roles</t>
  </si>
  <si>
    <t xml:space="preserve">Jarmin.ai builds AI employees for human-level roles. It learns its responsibilities, understands your data, embeds into your systems, and becomes part of your team's day-to-day workflow. Completely hand over full initiatives or individual tasks. Hire AI ML Engineers, Account Executives, Paralegals, Financial analysts, Compliance analysts, and more. Jarmin’s founding team is from Meta SuperIntelligence Labs (Staff Engineers), Apple (Machine Learning Engineer), AWS (scaling infra), Lockheed-Martin (Research), and JPMorganChase (SWE) with experience building AI/ML and automating complex work of Researchers, Data Scientists, ML Engineers with AI.</t>
  </si>
  <si>
    <t xml:space="preserve">https://jarmin.ai/</t>
  </si>
  <si>
    <t xml:space="preserve">https://www.ycombinator.com/companies/jarmin</t>
  </si>
  <si>
    <t xml:space="preserve">Kaigo Health</t>
  </si>
  <si>
    <t xml:space="preserve">AI outpatient care workforce</t>
  </si>
  <si>
    <t xml:space="preserve">Kaigo Health provides an AI-powered outpatient care management platform that automates and scales remote care management for Medicare patients including post-discharge followups, ongoing check-ins, and monitoring. Using phone calls as an age-friendly interface, we aggregate patient responses, voice biomarkers, and remote patient monitoring data for powerful preventative and proactive healthcare.</t>
  </si>
  <si>
    <t xml:space="preserve">Healthcare -&gt; Healthcare IT</t>
  </si>
  <si>
    <t xml:space="preserve">https://www.kaigohealth.ai/</t>
  </si>
  <si>
    <t xml:space="preserve">https://www.ycombinator.com/companies/kaigo-health</t>
  </si>
  <si>
    <t xml:space="preserve">Scaling Generalist Speech models</t>
  </si>
  <si>
    <t xml:space="preserve">We're building the next frontier of speech models. Generalist speech models that unlock in-context learning &amp; strong instruction following for speech models alongside unifying existing speech capabilities like speech to text, text to speech, voice cloning, etc.</t>
  </si>
  <si>
    <t xml:space="preserve">Karumi</t>
  </si>
  <si>
    <t xml:space="preserve">The Waymo of Personalized demos</t>
  </si>
  <si>
    <t xml:space="preserve">Karumi is an AI agent that joins a live video call with your prospects to deliver personalized product demos, 24/7, in any language. It bridges the gap between your landing page and your sales team by engaging visitors at the peak of their interest, turning curiosity into conversion. For those not ready to talk to sales but eager to explore, Karumi offers the next generation of interactive, self-guided demos.</t>
  </si>
  <si>
    <t xml:space="preserve">https://www.karumi.ai/</t>
  </si>
  <si>
    <t xml:space="preserve">https://www.ycombinator.com/companies/karumi</t>
  </si>
  <si>
    <t xml:space="preserve">Kestrel AI</t>
  </si>
  <si>
    <t xml:space="preserve">AI Agents for Platform Engineering</t>
  </si>
  <si>
    <t xml:space="preserve">Kestrel is the AI automation layer for platform engineering teams. Platform teams use Kestrel to automate incident response, cloud provisioning, CI/CD, security, and developer requests across their stack. Kestrel turns natural-language prompts into deterministic, production-ready workflows with 40+ integrations, 200+ pre-built actions, and support for custom HTTP and webhook actions. Developer-first, with a CLI, Python SDK, and MCP server to manage workflows from where platform teams already work.</t>
  </si>
  <si>
    <t xml:space="preserve">B2B -&gt; Security</t>
  </si>
  <si>
    <t xml:space="preserve">https://usekestrel.ai/</t>
  </si>
  <si>
    <t xml:space="preserve">https://www.ycombinator.com/companies/kestrel-ai</t>
  </si>
  <si>
    <t xml:space="preserve">Agentic AI Filmmaking Platform</t>
  </si>
  <si>
    <t xml:space="preserve">Koyal is an Agentic AI Filmmaking Platform that allows you to seamlessly convert script or audio into personalized, visually compelling stories. We’re a team from Carnegie Mellon, MIT and Meta, with experience in AI video generation. https://koyal.ai builds directly upon our published research at the AI conference NeurIPS in December. We’ve been covered in the international press for our patented secure personalization protocol CHARCHA: the genAI captcha. Announcement: https://x.com/meh_agarwal/status/1965866965425348687 Demo: https://x.com/meh_agarwal/status/1965137062119752099 We currently have paid pilots with the biggest global music labels, podcasts and production houses, and just launched our public beta at beta.koyal.ai We recently concluded a pilot with Universal Music and T-Series (world’s largest music label) alongside Bollywood production houses like Maddock Entertainment, and Collective Artists Network! As part of that, we launched 5 music videos for Grammy and Oscar winning artists like A R Rahman, Ricky Kej and Shankar Mahadevan all crossing 1.5 million views! We've recently built SOTA capabilities in (i) multilingual script to audio to video, (ii) Agentic lip-sync with dynamic movement &amp; (iii) Multi-character consistency.</t>
  </si>
  <si>
    <t xml:space="preserve">Lakonia</t>
  </si>
  <si>
    <t xml:space="preserve">Delivering AI-powered situational awareness in tactical environments.</t>
  </si>
  <si>
    <t xml:space="preserve">Lakonia is building an AI-powered command and control platform for law enforcement and the military. Our AI transcribes radio communications, analyzes them, and then synthesizes information for commanders/dispatchers and operators to act on.</t>
  </si>
  <si>
    <t xml:space="preserve">Government</t>
  </si>
  <si>
    <t xml:space="preserve">https://lakonia.us.com</t>
  </si>
  <si>
    <t xml:space="preserve">https://www.ycombinator.com/companies/lakonia</t>
  </si>
  <si>
    <t xml:space="preserve">AI that creates and runs ads, end-end</t>
  </si>
  <si>
    <t xml:space="preserve">Lapis builds, launches, and scales paid ad campaigns for DTC and SaaS businesses. Lapis agents handle every step of the paid ads journey: writing ad copy (headlines and descriptions), generating the static images used in ads, deploying campaigns across paid channels, creating a custom landing page for each ad, and feeding real user interaction data back into a self-improving ads engine that gets better every day. With Lapis, businesses can rapidly iterate on ads and A/B test at scale, free from the human design and creative bottlenecks that slow teams down. Using Lapis, companies can quantitatively improve their paid ads performance by up to 20x. Lapis is used by 1,500+ marketing teams and 30+ enterprises, from Fortune 500 businesses to fast growing DTC businesses, and supports 10 languages including English, Spanish, and Italian.</t>
  </si>
  <si>
    <t xml:space="preserve">Layers</t>
  </si>
  <si>
    <t xml:space="preserve">Improve your appearance by measuring, understanding, and tracking…</t>
  </si>
  <si>
    <t xml:space="preserve">Improving how you look and feel leads to better outcomes in life (career, relationships, first impressions, opportunities, etc). Improving your health and appearance is an engineering problem - the body can be optimized like any other system</t>
  </si>
  <si>
    <t xml:space="preserve">Healthcare -&gt; Consumer Health and Wellness</t>
  </si>
  <si>
    <t xml:space="preserve">https://www.layers.bio/</t>
  </si>
  <si>
    <t xml:space="preserve">https://www.ycombinator.com/companies/layers</t>
  </si>
  <si>
    <t xml:space="preserve">Leadbay</t>
  </si>
  <si>
    <t xml:space="preserve">Qualified leads for agentic workflows.</t>
  </si>
  <si>
    <t xml:space="preserve">Leadbay qualifies leads for agentic workflows. Teams at L'Oréal, Saint-Gobain, Gerflor USA, Corgi, and Nespresso B2B have 3x'd their addressable market and 10x'd what they defined as "qualified leads". Talking to our customers, we used to hear, "10 minutes on Leadbay beats 6 months with Clay and a GTM agency." Co-founders are Milan Stankovic (CTO) - PhD to make AI work with limited data, and Ludovic Granger (CEO). Create an account. A new market is yours. leadbay.ai.</t>
  </si>
  <si>
    <t xml:space="preserve">https://leadbay.ai/</t>
  </si>
  <si>
    <t xml:space="preserve">https://www.ycombinator.com/companies/leadbay</t>
  </si>
  <si>
    <t xml:space="preserve">Production Monitoring for AI agents</t>
  </si>
  <si>
    <t xml:space="preserve">Lemma is production monitoring for AI agents. We catch the silent failures your observability tools and evals miss (think bad tool calls, lost context, and infinite loops) before your users find them.</t>
  </si>
  <si>
    <t xml:space="preserve">AI Operating System for Legal Teams</t>
  </si>
  <si>
    <t xml:space="preserve">Lexi is an AI operating system for legal teams, law firms, and in-house counsel. It brings legal research, drafting, document review, contract redlining, case workflows, translation, knowledge management, and AI associates into one secure platform. Lexi is built for enterprise legal work with end-to-end security, role-based access controls, audit trails, encrypted document handling, private workspaces, and deployment options for sensitive legal environments. Legal teams use Lexi to process high-volume legal documents, find answers with verified citations, draft in their preferred style, review contracts, and manage legal workflows from intake to output. Lexi has processed 5,000,000+ documents across 200,000+ cases for 200+ organizations and law firms, helping lawyers save 10+ hours every week and handle more matters without adding headcount.</t>
  </si>
  <si>
    <t xml:space="preserve">Lightberry</t>
  </si>
  <si>
    <t xml:space="preserve">Robots with soul</t>
  </si>
  <si>
    <t xml:space="preserve">We build brains for robots. We work with manufacturers like Unitree to make robots listen, speak, and act. You can program your robot out of the box by literally talking to it, no coding involved. Robots running Lightberry are emotionally intelligent, always on, and fully autonomous. Just like in Star Wars!</t>
  </si>
  <si>
    <t xml:space="preserve">https://lightberry.com</t>
  </si>
  <si>
    <t xml:space="preserve">https://www.ycombinator.com/companies/lightberry</t>
  </si>
  <si>
    <t xml:space="preserve">Payment infrastructure for AI agents</t>
  </si>
  <si>
    <t xml:space="preserve">We make your agents pay. As agents evolve from tools into dependable, autonomous actors, they’ll need the ability to execute open-ended workflows end-to-end. This inevitably means payments: accessing paywalled data, transacting for services or with other specialist agents. But autonomy requires guardrails. Businesses and developers will need a way to ensure their agents only spend how much and on what they’re supposed to. The machine economy is coming, and Locus (YC F25) is building the connector businesses will need to participate. We connect agents securely to funds, letting you define permissions and limits for every transaction. Each payment is traceable, auditable, and fully reconcilable with your existing financial stack.</t>
  </si>
  <si>
    <t xml:space="preserve">Logical</t>
  </si>
  <si>
    <t xml:space="preserve">A proactive desktop copilot. Clippy, but actually good.</t>
  </si>
  <si>
    <t xml:space="preserve">Logical is a desktop AI that acts as a proactive and largely promptless copilot, designed to reduce the friction of using AI for everyday tasks. It transfers context across apps, and allows taking action on many apps with just a few clicks. Logical can assist with drafting emails, writing docs, noting meetings and can even automatically detect action items. Need to prompt? Logical can understand intent in much fewer words than a regular chatbot. Plus, user data is never sent to Logical servers. Logical is the AI resurrection of Clippy, but actually good.</t>
  </si>
  <si>
    <t xml:space="preserve">https://logical.io</t>
  </si>
  <si>
    <t xml:space="preserve">https://www.ycombinator.com/companies/logical</t>
  </si>
  <si>
    <t xml:space="preserve">LogosGuard</t>
  </si>
  <si>
    <t xml:space="preserve">The sensitive data redaction layer for AI</t>
  </si>
  <si>
    <t xml:space="preserve">Use AI tools like ChatGPT, Claude, and Gemini safely without leaking sensitive data. LogosGuard redacts your private information before the prompt ever leaves your device.</t>
  </si>
  <si>
    <t xml:space="preserve">https://logosguard.com/</t>
  </si>
  <si>
    <t xml:space="preserve">https://www.ycombinator.com/companies/logosguard</t>
  </si>
  <si>
    <t xml:space="preserve">Lua Global Inc</t>
  </si>
  <si>
    <t xml:space="preserve">The mid-market agent platform</t>
  </si>
  <si>
    <t xml:space="preserve">Lua is the mid-market agent platform. We deliver enterprise reliability with the speed, flexibility, and economics that mid-market companies demand - helping them deploy AI agents that drive sales, support, and operations across everyday channels and tools. We scale through developer agencies and channel partners, enabling rapid distribution without a large enterprise sales motion or scaled forward deployed teams. We think of Lua as an agentOS that abstracts all of the complexity required to launch enterprise grade agents and combine it with the tools needed for these agents to succeed in the real world. Lua was founded by Lorcan O Cathain (CEO) and Stefan Kruger (CTO)- experienced founders who have spent 15 - 20 years each scaling technology companies across emerging markets. We sell to mid-market enterprises and developer agencies in the US and internationally. Developers are increasingly our primary ICP but we run SMB &amp; enterprise sales motions to accelerate our learnings and further develop our product: - SMB ($25- 1k per month): fully automated self-serve agents that handle sales and support for eCommerce companies, hotels, restaurants and general service businesses. If you’ve been on our website you’ve likely seen this. - Enterprise: We directly sell to mid-market (~ $50M- $1BN) businesses across the US and internationally to eat our own dog food and strengthen our platform.</t>
  </si>
  <si>
    <t xml:space="preserve">https://heylua.ai/</t>
  </si>
  <si>
    <t xml:space="preserve">https://www.ycombinator.com/companies/lua-global-inc</t>
  </si>
  <si>
    <t xml:space="preserve">AI Voice callers for healthcare billing teams</t>
  </si>
  <si>
    <t xml:space="preserve">LunaBill is building AI Voice callers for healthcare billing teams. Insurance claim follow-up calls account for the 80% of the daily workload of a healthcare billing team, with each call averaging 30 minutes. Since our launch in July we are now at $764K in contracted ARR, of which $428K is live revenue and the rest will go live by January 2026. Our customers see a 10x increase in claims followed up per biller in the first week and we have converted 100% of pilots to paying customers. We have automated 50,000+ calls and signed partnerships with top healthcare systems in the country. The founders have known each other for over a year. Suhail is a 2x founder, with 3+ years of experience building in healthcare including operating a medical billing company with 200+ healthcare clients. David founded Skiesoft, Taiwan’s biggest healthcare AI scribe company, used by thousands of healthcare professionals. He also worked as a data scientist at UCSF, building models to audit medical-coding accuracy.</t>
  </si>
  <si>
    <t xml:space="preserve">Lunavo</t>
  </si>
  <si>
    <t xml:space="preserve">Lunavo is the AI assistant for carriers.</t>
  </si>
  <si>
    <t xml:space="preserve">We build AI that runs carrier operations. Lunavo is the AI assistant for carriers. It plugs directly into their existing toolstack, understands their processes, and monitors all incoming data and requests. Lunavo runs end-to-end backoffice operations, handling repetitive tasks, resolving issues autonomously, and escalating only what matters. Lunavo helps carriers scale operations without scaling headcount.</t>
  </si>
  <si>
    <t xml:space="preserve">B2B -&gt; Supply Chain and Logistics</t>
  </si>
  <si>
    <t xml:space="preserve">https://lunavo.ai</t>
  </si>
  <si>
    <t xml:space="preserve">https://www.ycombinator.com/companies/lunavo</t>
  </si>
  <si>
    <t xml:space="preserve">MadeThis</t>
  </si>
  <si>
    <t xml:space="preserve">The autonomous business platform</t>
  </si>
  <si>
    <t xml:space="preserve">B2B -&gt; Operations</t>
  </si>
  <si>
    <t xml:space="preserve">https://madethis.com</t>
  </si>
  <si>
    <t xml:space="preserve">https://www.ycombinator.com/companies/madethis</t>
  </si>
  <si>
    <t xml:space="preserve">MarkIt</t>
  </si>
  <si>
    <t xml:space="preserve">Compliance that makes products ready for global markets.</t>
  </si>
  <si>
    <t xml:space="preserve">MarkIt is an AI-powered regulatory compliance platform that helps consumer brands launch products in new markets. We review formulations, packaging, and supporting documents against local regulations, identify compliance gaps, and provide the exact changes, regulatory references, and market-ready labels needed before launch. We are initially focused on cosmetics and food products entering the U.S., replacing weeks of manual work across regulatory consultants, spreadsheets, and disconnected vendors with one actionable compliance workflow.</t>
  </si>
  <si>
    <t xml:space="preserve">https://markittrade.com</t>
  </si>
  <si>
    <t xml:space="preserve">https://www.ycombinator.com/companies/markit</t>
  </si>
  <si>
    <t xml:space="preserve">AI plug-in that automates HR immigration screening and compliance</t>
  </si>
  <si>
    <t xml:space="preserve">Mayflower is building an AI-powered HR plug-in that automates immigration screening, eligibility checks, and compliance for global candidates. The platform parses documents, classifies visa pathways, and generates attorney-ready forms. By integrating directly with existing HR systems, Mayflower helps companies surface only compliant candidates, reduce legal risk, and streamline the international hiring process.</t>
  </si>
  <si>
    <t xml:space="preserve">Metorial</t>
  </si>
  <si>
    <t xml:space="preserve">Agentic infrastructure to power AI-native companies.</t>
  </si>
  <si>
    <t xml:space="preserve">Metorial gives every employee, agent, and AI client in your company one place to connect tools and skills. Governance, access control, and tracing included.</t>
  </si>
  <si>
    <t xml:space="preserve">Vienna, Vienna, Austria; Remote</t>
  </si>
  <si>
    <t xml:space="preserve">https://metorial.com</t>
  </si>
  <si>
    <t xml:space="preserve">https://www.ycombinator.com/companies/metorial</t>
  </si>
  <si>
    <t xml:space="preserve">Miniswap</t>
  </si>
  <si>
    <t xml:space="preserve">The Marketplace for Complex Hobbies</t>
  </si>
  <si>
    <t xml:space="preserve">Miniswap a marketplace for complex hobbies, starting with Warhammer. In hobbies as complex as Warhammer, finding what you want on general marketplaces is a huge pain. Filters don't work, free-form listings mean that products are regularly misidentified, and piles of counterfeit junk crowd search results. Miniswap saves hobbyists from this chaos with its catalogue of more than 20,000 unique miniatures. Sellers match their listings against Miniswap's catalogue giving buyers more information and structure as they shop. The global market for tabletop games is estimated to be worth $20B in 2025 and Warhammer alone is projected to grow to $3B by 2030. By capturing the market in this untapped niche, Miniswap is strongly positioned to bringing greater transparency, simplicity, and connectivity into adjacent verticals. Miniswap's founding team merges deep domain knowledge with elite programming expertise and years of experience in business consulting and startups. Co-founders Zak and Will met while studying together at Cambridge, bonded over their love of Warhammer and early modern history. They have been best friends ever since.</t>
  </si>
  <si>
    <t xml:space="preserve">https://miniswap.gg/</t>
  </si>
  <si>
    <t xml:space="preserve">https://www.ycombinator.com/companies/miniswap</t>
  </si>
  <si>
    <t xml:space="preserve">Minro</t>
  </si>
  <si>
    <t xml:space="preserve">Identify churn risk and stay close to users at scale</t>
  </si>
  <si>
    <t xml:space="preserve">Minro helps companies stay close to their users as they scale. Today, most startups have thousands of product events flowing through tools like PostHog, but still have no real understanding of who their users actually are, which users are quietly about to churn, or what outreach actually brings them back. Founders care deeply about their users, but staying close to them becomes operationally impossible very quickly. Minro plugs directly into a company’s analytics stack and turns product activity into living customer intelligence. We enrich every user with context like their company, role, LinkedIn/GitHub/Twitter, background, and likely use case, currently matching users to the correct online identity with ~80% accuracy starting from just name + email. We then identify which users are most likely to churn based on behavioral patterns, persona similarity, and historical retention signals, and help founders proactively reach out before those users disappear. Minro drafts highly contextual founder-style outreach, tracks which conversations actually convert into retention, and continuously improves the system over time. The result is a customer intelligence and retention layer that helps companies understand their users better, build stronger relationships, and reduce churn before it happens.</t>
  </si>
  <si>
    <t xml:space="preserve">https://minro.com/</t>
  </si>
  <si>
    <t xml:space="preserve">https://www.ycombinator.com/companies/minro</t>
  </si>
  <si>
    <t xml:space="preserve">Mixy</t>
  </si>
  <si>
    <t xml:space="preserve">Make mashups without knowing how to DJ</t>
  </si>
  <si>
    <t xml:space="preserve">Live out your DJ dreams with Mixy, the mind-blowing music app that lets you mash-up any song in seconds. ⁕ Add your songs ⁕ Instantly blend vocals and beats ⁕ Play and share your mashup anywhere There’s no limit to your imagination! ⁕ Launched to #1 in Music on June 19th ⁕ 1.5M users in 3 months ⁕ 15M mashups made and growing</t>
  </si>
  <si>
    <t xml:space="preserve">https://usemixy.com</t>
  </si>
  <si>
    <t xml:space="preserve">https://www.ycombinator.com/companies/mixy</t>
  </si>
  <si>
    <t xml:space="preserve">Moss</t>
  </si>
  <si>
    <t xml:space="preserve">Real-time semantic search for Conversational AI</t>
  </si>
  <si>
    <t xml:space="preserve">Moss is building the real-time semantic search runtime for conversational and multimodal AI. Our system enables voice agents, copilots, and chat interfaces to retrieve, reason, and respond in sub-10 ms, delivering the responsiveness that makes AI interactions feel truly natural. If you’ve ever built a conversational or voice AI product, you’ve felt the lag. That moment when an agent pauses and the illusion of intelligence breaks. The bottleneck is almost always retrieval. Each query hops across networks and databases, adding delay and cost. Moss eliminates that gap by keeping retrieval close to where the agent runs. Moss runs natively across browsers, mobile devices, and servers with an optimized vector index built in Rust and WebAssembly. It enables teams to build AI products that feel instant, contextual, and adaptive. The experiences that sustain engagement and unlock new kinds of interaction. For our customers, this translates into tangible business value: stronger user retention, higher conversion, and entirely new product categories made possible by real-time understanding. Moss is already powering production pilots across voice AI and developer platforms, achieving sub-10 ms retrieval and 70–90% token savings compared to traditional pipelines.</t>
  </si>
  <si>
    <t xml:space="preserve">https://moss.dev</t>
  </si>
  <si>
    <t xml:space="preserve">https://www.ycombinator.com/companies/moss</t>
  </si>
  <si>
    <t xml:space="preserve">MOVEdot</t>
  </si>
  <si>
    <t xml:space="preserve">AI Agents for Hardware Engineering</t>
  </si>
  <si>
    <t xml:space="preserve">Our agents run hardware engineering tasks that normally take hours or days in just a few minutes, allowing engineers to process 100x more data and information. Our platform allows hardware engineers to orchestrate agents for tasks such as analyzing failures across entire test campaigns, pulling the right data and KPIs from their databases, checking how conditions (like temperature or load) affect performance and reliability, and then document findings in reports and dashboards.</t>
  </si>
  <si>
    <t xml:space="preserve">https://www.movedot.ai/</t>
  </si>
  <si>
    <t xml:space="preserve">https://www.ycombinator.com/companies/movedot</t>
  </si>
  <si>
    <t xml:space="preserve">MSPilot</t>
  </si>
  <si>
    <t xml:space="preserve">Turn AI adoption into a recurring revenue line.</t>
  </si>
  <si>
    <t xml:space="preserve">Make AI your next recurring revenue line. MSPilot helps Managed Service Providers deploy, govern, and monetize AI agents across their entire client base. Author an agent once, roll it out to your whole book, and bill for every token - with markup.</t>
  </si>
  <si>
    <t xml:space="preserve">https://mspilot.io</t>
  </si>
  <si>
    <t xml:space="preserve">https://www.ycombinator.com/companies/mspilot</t>
  </si>
  <si>
    <t xml:space="preserve">Zero-trust authentication, authorization, and auditing for AI agents</t>
  </si>
  <si>
    <t xml:space="preserve">The agentic era is here, but its foundation is dangerously insecure. A growing number of high-profile "AI agent gone rogue" security incidents make headlines each week. As enterprise adoption of agentic software has far outpaced the development of applicable cybersecurity solutions, CISOs have loudly voiced a growing need for verifiable, fine-grained security controls on complex multi-agent systems. That's why we built Multifactor. Multifactor offers best-in-class authentication, authorization, and auditing technologies for agentic systems, allowing users to securely and revocably share online accounts with agents while maintaining fine-grained permissions and a detailed event history. We are doing for AI security what Cloudflare did for web security, Okta did for identity security, and Wiz did for cloud security: defining the category. A world-class "account manager" that allows agents to securely use online accounts on your behalf is just the start—our early enterprise partners include companies using AI agents to manage $7.5+ billion manufacturing supply chains, where the consequences for lapses in security are severe. Our patented AI security technology seamlessly integrates with existing agentic software to thwart attacks like prompt injection, so CISOs and end users alike can breathe a sigh of relief, without slowing the pace of AI adoption.</t>
  </si>
  <si>
    <t xml:space="preserve">AI Video Editor</t>
  </si>
  <si>
    <t xml:space="preserve">An AI-powered video editor that makes editing dramatically faster. Upload your clips, tell it what you want, and have Narrative edit them for you.</t>
  </si>
  <si>
    <t xml:space="preserve">Nessie</t>
  </si>
  <si>
    <t xml:space="preserve">The shared context layer for recursive companies - your work, your…</t>
  </si>
  <si>
    <t xml:space="preserve">Knowledge work is being restructured by AI. Strategy happens in Claude. Research happens in ChatGPT. Building happens in Claude Code and Codex. Meetings get recorded, notes get written, agents run for hours and leave behind traces nobody reads. The people defining the next decade of work are already thinking with AI every day. But none of that thinking compounds. Every session starts from zero. The reasoning behind decisions, the context behind strategies, the evolution of ideas across hundreds of conversations - all of it evaporates. Nessie is the infrastructure that makes it permanent. We auto-sync AI conversations and agent traces across every major provider - ChatGPT, Claude, Gemini, Perplexity, Claude Code, Codex, Cursor, OpenClaw, Hermes, and more - alongside meetings, notes, and email from tools like Granola, Read AI, Plaud, and Obsidian. Everything a team produces with AI flows into one place and compounds over time. Nessie turns that raw, heterogeneous data into an ontology: the live state of a company. Not a static schema but a continuously updated record of what the company knows, what it has decided, who owns what, and how its thinking has evolved, kept current as new work flows in. It is queryable from any agent through our CLI, MCP connector, and plugins, shareable across a team with real permissions, and deployable on-prem for organizations that need it. Then the loop closes. Once a company’s state is legible to its agents, every agent run becomes training signal: which skills worked, which failed, which workflows keep repeating. Nessie feeds that signal back as reviewable improvements to the skills, prompts, and processes the team runs on. This is what makes a company recursive: its agents get better from its own history, the people working with them get better too, and the compounding never stops. Where we are going: the AI-native organization runs thousands of agents that are powerful but amnesiac. Nessie is the layer that gives them, and the humans steering them, a shared memory. Science has journals, law has case law, software has git; AI-native knowledge work has had nothing. We are building it. Founded by two Yale CS grads and former Amazon engineers, now a team of three in San Francisco. Backed by BoxGroup, Pioneer Fund, Y Combinator, Precursor, and more. https://nessielabs.com</t>
  </si>
  <si>
    <t xml:space="preserve">https://nessielabs.com/</t>
  </si>
  <si>
    <t xml:space="preserve">https://www.ycombinator.com/companies/nessie</t>
  </si>
  <si>
    <t xml:space="preserve">We help non-technical teams build AI agents without engineers</t>
  </si>
  <si>
    <t xml:space="preserve">Nexus enables non-technical teams in large organizations to build production-ready AI agents without code.</t>
  </si>
  <si>
    <t xml:space="preserve">AI health coach in your pocket</t>
  </si>
  <si>
    <t xml:space="preserve">Nori is a concierge-level AI health coach in your pocket. It takes all of your health data—Apple Health, medical records, wearables, everything—and boils it down into a personalized daily plan. Users love it: “It's truly one of the best apps and I check it first every day. Since using Nori, I've been limiting devices in bed and eating earlier—and I'll be damned if it's not working... I started getting more deep sleep, my resting HR dropped to 43, my recovery improved.”—Jen, Nori user"</t>
  </si>
  <si>
    <t xml:space="preserve">Norra</t>
  </si>
  <si>
    <t xml:space="preserve">The AI equipment manager for post-acute care</t>
  </si>
  <si>
    <t xml:space="preserve">Norra tackles the operational chaos inside skilled nursing facilities, starting with equipment. We track every bed, wheelchair, and oxygen concentrator a facility owns, and use AI to tell operators what they have, where it is, and where money is leaking.</t>
  </si>
  <si>
    <t xml:space="preserve">https://www.norra.io</t>
  </si>
  <si>
    <t xml:space="preserve">https://www.ycombinator.com/companies/norra</t>
  </si>
  <si>
    <t xml:space="preserve">Nucleo</t>
  </si>
  <si>
    <t xml:space="preserve">The first Agentic platform for Oncology</t>
  </si>
  <si>
    <t xml:space="preserve">We help oncologists and radiologists extract insights from CT scans to support tumor characterization and treatment. The hospitals we work with include Stanford Hospital, Cedars-Sinai, UCI Health, and Weill Cornell.</t>
  </si>
  <si>
    <t xml:space="preserve">https://nucleoresearch.com/</t>
  </si>
  <si>
    <t xml:space="preserve">https://www.ycombinator.com/companies/nucleo</t>
  </si>
  <si>
    <t xml:space="preserve">Null Labs</t>
  </si>
  <si>
    <t xml:space="preserve">End-to-end Simulation for Defense Autonomy</t>
  </si>
  <si>
    <t xml:space="preserve">We provide defense companies with simulation infrastructure to train and validate autonomous systems.</t>
  </si>
  <si>
    <t xml:space="preserve">https://n0labs.com</t>
  </si>
  <si>
    <t xml:space="preserve">https://www.ycombinator.com/companies/null-labs</t>
  </si>
  <si>
    <t xml:space="preserve">Openroll</t>
  </si>
  <si>
    <t xml:space="preserve">The AI workforce for People and Finance teams</t>
  </si>
  <si>
    <t xml:space="preserve">Openroll is an AI-powered workspace for people and finance teams. Openroll lets teams automate recurring work and run fully auditable workflows across their systems. Compensation, headcount, and budgeting in one platform. Learn more at https://www.openroll.com</t>
  </si>
  <si>
    <t xml:space="preserve">https://www.openroll.com</t>
  </si>
  <si>
    <t xml:space="preserve">https://www.ycombinator.com/companies/openroll</t>
  </si>
  <si>
    <t xml:space="preserve">Paceline Bio</t>
  </si>
  <si>
    <t xml:space="preserve">Biospecimen logistics &amp; operations layer to accelerate drug dev</t>
  </si>
  <si>
    <t xml:space="preserve">Paceline Bio runs the research and clinical ops layer behind biotech and pharma company who want to move fast, starting with biospecimen collection, logistics, and storage. We're built to get you from scope to signature in just one day so you can accelerate your programs.</t>
  </si>
  <si>
    <t xml:space="preserve">Boulder, CO, USA</t>
  </si>
  <si>
    <t xml:space="preserve">https://paceline.bio/</t>
  </si>
  <si>
    <t xml:space="preserve">https://www.ycombinator.com/companies/paceline-bio</t>
  </si>
  <si>
    <t xml:space="preserve">Parametric</t>
  </si>
  <si>
    <t xml:space="preserve">Physical businesses that run themselves</t>
  </si>
  <si>
    <t xml:space="preserve">Parametric builds autonomous physical businesses.</t>
  </si>
  <si>
    <t xml:space="preserve">https://parametric.company/</t>
  </si>
  <si>
    <t xml:space="preserve">https://www.ycombinator.com/companies/parametric</t>
  </si>
  <si>
    <t xml:space="preserve">Parrot</t>
  </si>
  <si>
    <t xml:space="preserve">TikTok for language learning</t>
  </si>
  <si>
    <t xml:space="preserve">Parrot is the TikTok for language learning. We turn doomscrolling into fluency with personalized short-form videos. Power users scroll for 6 hours/week on Parrot. Our team of engineers have lived the frustration of ineffective apps and learning methods - we’re building the first language platform that actually works.</t>
  </si>
  <si>
    <t xml:space="preserve">https://parrotapp.com/</t>
  </si>
  <si>
    <t xml:space="preserve">https://www.ycombinator.com/companies/parrot</t>
  </si>
  <si>
    <t xml:space="preserve">Build an API to interact with any website.</t>
  </si>
  <si>
    <t xml:space="preserve">Parse lets developers build APIs for any website. Unlike traditional scraping tools that rely on slow, expensive headless browsers, Parse examines websites' underlying network requests and generates API endpoints automatically. This makes Parse 10-100x faster and cheaper than browser automation,.</t>
  </si>
  <si>
    <t xml:space="preserve">AI for detecting patent infringements</t>
  </si>
  <si>
    <t xml:space="preserve">We automate patent infringement detection. Our software interprets patents, identifies competing products, and generates claim charts showing who’s infringing and how. Teams use us to: - Find licensing and litigation targets - Send cease-and-desist letters - Find counter litigation - Sell IP in wind-downs - Accelerate M&amp;A diligence We also run AI invalidity and prior-art searches to help your patents hold up in court. Companies spend up to $50k to file and maintain a single patent over its lifetime, but once it's granted, they let it collect dust. With Patent Watch, you can start turning your patent portfolio into revenue in 10 minutes.</t>
  </si>
  <si>
    <t xml:space="preserve">Applied Lab focused on Search in Latent Spaces.</t>
  </si>
  <si>
    <t xml:space="preserve">Perseus takes an iterative branching approach to search in high dimensional spaces. Our first product helps coding agents find the right codebase context before they write. It searches files, symbols, and dependencies in parallel, so models can make better changes with less trial and error. Perseus Search gives Mythos-level programming ability to Opus-level coding agents.</t>
  </si>
  <si>
    <t xml:space="preserve">Philon</t>
  </si>
  <si>
    <t xml:space="preserve">General Purpose Robots</t>
  </si>
  <si>
    <t xml:space="preserve">Building open-source general-purpose robots capable of performing unsafe, repetitive or boring tasks.</t>
  </si>
  <si>
    <t xml:space="preserve">https://philon.ai/</t>
  </si>
  <si>
    <t xml:space="preserve">https://www.ycombinator.com/companies/philon</t>
  </si>
  <si>
    <t xml:space="preserve">Humanoid robots that do your chores for the price of an iPhone!</t>
  </si>
  <si>
    <t xml:space="preserve">We build humanoid robots that do your chores at iPhone prices. Just like the millions of cars generating data for self-driving, we need millions of humanoids generating real-world data for general-purpose robotics. Humanoid companies today can only manufacture hundreds a year because motors are expensive and slow to assemble. We use artificial muscles. Each muscle is just a tube wrapped in braided fibre, and the whole robot is powered by a single pump — which means we can mass-produce humanoids by the millions. Our design is built for that scale from day one and is cheap enough to enter billions of homes.</t>
  </si>
  <si>
    <t xml:space="preserve">Pixley AI</t>
  </si>
  <si>
    <t xml:space="preserve">The first platform where families can create AI cartoons in minutes</t>
  </si>
  <si>
    <t xml:space="preserve">Pixley turns kids' drawings and ideas into fully animated cartoons – in minutes. Kids are natural storytellers. With Pixley, any kid can draw a character, describe a world, and watch their story come to life as a personalized animated cartoon. Most kids' screen time is broken: passive, algorithmic content designed to keep kids watching, not growing. Pixley is the antidote. Every episode is safe, ad-free, and built around Social-Emotional Learning (SEL). Parents can choose any lesson they want to teach their child, and Pixley weaves it naturally into the story their kids create. We're building the creative platform for the next generation – where kids are the directors, not just the audience. Additionally, the same technology powers Pixley Studios, our B2B content service for brands and content creators who want to produce high-quality AI video without the cost or time of traditional production. We’re 19 year old CS dropouts who’ve known each other since elementary school and won 4 hackathons at 15. After seeing AI flood the internet with low-quality content, we created Pixley – a safe, personalized way for kids to turn their ideas into animated stories.</t>
  </si>
  <si>
    <t xml:space="preserve">https://pixleyai.com</t>
  </si>
  <si>
    <t xml:space="preserve">https://www.ycombinator.com/companies/pixley-ai</t>
  </si>
  <si>
    <t xml:space="preserve">Prox</t>
  </si>
  <si>
    <t xml:space="preserve">AI product specialists for equipment manufacturers</t>
  </si>
  <si>
    <t xml:space="preserve">Prox turns product expertise into revenue for equipment manufacturers. Equipment buyers rarely begin with a model number. They begin with a job, an installed system, a constraint, or a problem. The knowledge needed to qualify, recommend, configure, quote, repair, replace, or upgrade the product is scattered across manuals, catalogs, spreadsheets, calculators, product managers, applications engineers, dealer processes, support teams, and legacy systems. The result is abandoned demand, slow qualification, wrong-fit recommendations, quote delays, weak dealer follow-up, missed parts and service revenue, and dependence on a few experienced people. Prox builds AI product specialists for equipment manufacturers. A product specialist uses the manufacturer's approved product knowledge, expert rules, calculators, and connected systems to move customers and frontline teams from a complex product question to the right purchase, quote, dealer, parts, service, replacement, or upgrade path. How it works: 1. Understand what the person is trying to accomplish. 2. Resolve the product, application, and operating context already available. 3. Ask only for the missing information that changes the result. 4. Apply approved sources, expert rules, and deterministic tools (calculators, selectors, configurators, comparisons). 5. Produce a supported, cited recommendation, configuration, procedure, or decision artifact. 6. Move the person into the correct cart, quote, RFQ, BOM, dealer, sales, parts, service, replacement, upgrade, or expert action with the context preserved. One product specialist, many governed skills: product discovery and comparison, sizing and configuration, competitive defense, quote preparation, dealer enablement, installation and commissioning, troubleshooting, parts identification, and approved service, replacement, and upgrade paths. Manufacturers deploy those skills to customers, dealers, sales teams, applications engineers, support teams, or field service. Existing CRM, CPQ, commerce, and support systems stay in place. Support and service are revenue-bearing surfaces. The specialist resolves the customer's problem first, then surfaces the approved part, service, replacement, or upgrade path only when the evidence supports it.</t>
  </si>
  <si>
    <t xml:space="preserve">B2B -&gt; Retail</t>
  </si>
  <si>
    <t xml:space="preserve">https://useprox.com</t>
  </si>
  <si>
    <t xml:space="preserve">https://www.ycombinator.com/companies/prox</t>
  </si>
  <si>
    <t xml:space="preserve">Radius</t>
  </si>
  <si>
    <t xml:space="preserve">Code and browse in the same place</t>
  </si>
  <si>
    <t xml:space="preserve">Radius is a browser where developers can orchestrate agents from their tabs. Ship 100x from a single place where agents can see, navigate, and act on your workspace.</t>
  </si>
  <si>
    <t xml:space="preserve">https://www.radiusbrowser.com</t>
  </si>
  <si>
    <t xml:space="preserve">https://www.ycombinator.com/companies/radiusbrowser</t>
  </si>
  <si>
    <t xml:space="preserve">Intelligence that moves the world</t>
  </si>
  <si>
    <t xml:space="preserve">Redapto builds the intelligence that runs the real world, closing the gap between understanding and execution. By combining real-time context, specialized AI agents, and adaptive orchestration, Redapto takes ownership of complex, mission-critical operations from end to end. Acting as an always-on operational brain, it coordinates across people and systems, improves every decision, and grows more capable with every task.</t>
  </si>
  <si>
    <t xml:space="preserve">Relaw</t>
  </si>
  <si>
    <t xml:space="preserve">AI Legal OS</t>
  </si>
  <si>
    <t xml:space="preserve">Relaw powers leading AI-native law firms.</t>
  </si>
  <si>
    <t xml:space="preserve">https://www.relaw.ai</t>
  </si>
  <si>
    <t xml:space="preserve">https://www.ycombinator.com/companies/relaw</t>
  </si>
  <si>
    <t xml:space="preserve">AI Agents for Pharmacies</t>
  </si>
  <si>
    <t xml:space="preserve">Streamline prescription refills, reduce workload, and enhance patient care with intelligent automation.</t>
  </si>
  <si>
    <t xml:space="preserve">Explore dozens of design directions with your agent</t>
  </si>
  <si>
    <t xml:space="preserve">Rivet helps designers explore dozens of directions from their agent. Learn more at rivet.design</t>
  </si>
  <si>
    <t xml:space="preserve">Rovi Health</t>
  </si>
  <si>
    <t xml:space="preserve">AI healthcare concierge for employees</t>
  </si>
  <si>
    <t xml:space="preserve">We deliver high-quality, cost-effective healthcare to employees through text. Employers cut 10–20% of healthcare spend. Employees get concierge care that improves outcomes. Our AI agents analyze clinical data to identify care needs. We treat common conditions through our integrated virtual clinic. For more complex care, our agents find the best in-network providers using millions of price and quality data points, and handle end-to-end appointment booking.</t>
  </si>
  <si>
    <t xml:space="preserve">https://www.rovi.health</t>
  </si>
  <si>
    <t xml:space="preserve">https://www.ycombinator.com/companies/rovi-health</t>
  </si>
  <si>
    <t xml:space="preserve">Rovr</t>
  </si>
  <si>
    <t xml:space="preserve">AI FDE Engine that runs your engineering workflows</t>
  </si>
  <si>
    <t xml:space="preserve">Rovr streamlines engineering operations by automating intake, triage, routing, and cross-team coordination. It replaces internal forms, manual Slack triage, and scattered docs with an AI front desk that understands requests, assigns owners, updates context, and posts status changes directly into Slack. Rovr’s built-in ops CRM gives teams a single system of record for eng requests — from tooling access to platform incidents to dev-infra workflows — reducing operational drag across the entire org.</t>
  </si>
  <si>
    <t xml:space="preserve">https://www.withrovr.com/</t>
  </si>
  <si>
    <t xml:space="preserve">https://www.ycombinator.com/companies/rovr</t>
  </si>
  <si>
    <t xml:space="preserve">s2.dev</t>
  </si>
  <si>
    <t xml:space="preserve">API for unlimited, durable, real-time streams</t>
  </si>
  <si>
    <t xml:space="preserve">S2 is an API for durable streams. We make working with streaming data dead simple and reliable. The more we worked on data systems, the more we felt like there was a missing building block. The seamless experience of object storage simply did not exist for durable streams – so we set out to fix that! S2 reimagines streams as an unlimited and access-controlled web resource. Like if Kafka and S3 had a baby. - Building agents? Use granular streams to persist context in real time, make workflows auditable, and coordinate between agents. - Publishing fast-moving data? Streams support high fanout and can be accessed directly over the internet, so they are a great fit for broadcasting real-time feeds. - Sandboxing? Emit to per-instance streams, and read history or live events just as easily. - Local-first and multiplayer experiences? Propagate updates reliably and efficiently. Stop dealing with clusters, and start streaming.</t>
  </si>
  <si>
    <t xml:space="preserve">https://s2.dev</t>
  </si>
  <si>
    <t xml:space="preserve">https://www.ycombinator.com/companies/s2-dev</t>
  </si>
  <si>
    <t xml:space="preserve">Sava</t>
  </si>
  <si>
    <t xml:space="preserve">Building the future of trusts</t>
  </si>
  <si>
    <t xml:space="preserve">If you are a trusts &amp; estates attorney, RIA, fintech, or family office interested in Sava, reach us at founders@savahq.com</t>
  </si>
  <si>
    <t xml:space="preserve">https://www.savahq.com</t>
  </si>
  <si>
    <t xml:space="preserve">https://www.ycombinator.com/companies/savahq</t>
  </si>
  <si>
    <t xml:space="preserve">Expert STEM reasoning data for frontier AI labs.</t>
  </si>
  <si>
    <t xml:space="preserve">Sciloop creates expert-level math and physics problems that frontier AI models can't solve, then sells the data to AI labs for training and evaluation. Our problems are created by IPhO and IMO medalists — the top 0.01% of STEM talent globally. On our benchmark, models like GPT 5.4 Pro and Gemini 3.1 Pro score 0-5% on our hardest problems. We work with AI labs to supply continuous, fresh training data that pushes the frontier of mathematical and scientific reasoning. Founded by Bilal and Osman, International Physics Olympiad medalists from MIT with hands-on ML research experience at MIT CSAIL.</t>
  </si>
  <si>
    <t xml:space="preserve">Automating regulatory submissions for life sciences</t>
  </si>
  <si>
    <t xml:space="preserve">We’re building AI agents that speed up drug trials by automating the manual consolidation and document prep required for every IND submission. Today, biotechs spend months stitching together reports from contractors and internal teams just to file and get to their first-in-human trial.</t>
  </si>
  <si>
    <t xml:space="preserve">Scott AI</t>
  </si>
  <si>
    <t xml:space="preserve">The planning layer for teams that build with coding agents</t>
  </si>
  <si>
    <t xml:space="preserve">Coding agents made writing code fast. But 6 engineers in a room will probably still disagree on what needs to be built. Scott AI is a planning workspace where engineering teams align on what to build before their coding agents start building it.</t>
  </si>
  <si>
    <t xml:space="preserve">https://tryscott.ai</t>
  </si>
  <si>
    <t xml:space="preserve">https://www.ycombinator.com/companies/scott-ai</t>
  </si>
  <si>
    <t xml:space="preserve">Selfin</t>
  </si>
  <si>
    <t xml:space="preserve">Institutional liquidity across prediction markets</t>
  </si>
  <si>
    <t xml:space="preserve">Bring us risk. We’ll find the market. Institutional liquidity for event-driven exposure across prediction markets.</t>
  </si>
  <si>
    <t xml:space="preserve">https://selfin.app</t>
  </si>
  <si>
    <t xml:space="preserve">https://www.ycombinator.com/companies/selfin</t>
  </si>
  <si>
    <t xml:space="preserve">SellRaze</t>
  </si>
  <si>
    <t xml:space="preserve">The fastest way to sell online.</t>
  </si>
  <si>
    <t xml:space="preserve">SellRaze is an AI-powered selling assistant that helps anyone sell anything in seconds. Point your camera at any item and we'll identify it, price it, and create an engaging listing across multiple marketplaces, including our own. Each day, more than 2,500 items are added to SellRaze, representing over $326,000 in inventory value.</t>
  </si>
  <si>
    <t xml:space="preserve">https://sellraze.com</t>
  </si>
  <si>
    <t xml:space="preserve">https://www.ycombinator.com/companies/sellraze</t>
  </si>
  <si>
    <t xml:space="preserve">Semble</t>
  </si>
  <si>
    <t xml:space="preserve">Takeoffs, design, and field work. Powered by AI.</t>
  </si>
  <si>
    <t xml:space="preserve">Takeoffs, design, and field work. Powered by AI. Mark up plans. Organize documents. Collaborate on PDFs. Keep crews moving. Jonathan and Ethan met studying computer science at Stanford. Jonathan worked at Convergint, one of the world's largest building system integrators.</t>
  </si>
  <si>
    <t xml:space="preserve">https://www.sembleai.com</t>
  </si>
  <si>
    <t xml:space="preserve">https://www.ycombinator.com/companies/semble</t>
  </si>
  <si>
    <t xml:space="preserve">Semiotic</t>
  </si>
  <si>
    <t xml:space="preserve">Studio-Grade Design at Scale</t>
  </si>
  <si>
    <t xml:space="preserve">Semiotic builds AI design agents. We’re starting with agents that build landing pages for fast‑growing startups. Existing AI website builders didn't make creating websites easier—they made creating ugly websites easier. So, companies choose between blue-purple gradient slop or agencies with 3-month waitlists and $100k minimums. You don't have to choose anymore. Start a project: semiotic.com</t>
  </si>
  <si>
    <t xml:space="preserve">http://semiotic.com</t>
  </si>
  <si>
    <t xml:space="preserve">https://www.ycombinator.com/companies/semiotic</t>
  </si>
  <si>
    <t xml:space="preserve">SF Tensor</t>
  </si>
  <si>
    <t xml:space="preserve">Infrastructure for AI labs to focus on research.</t>
  </si>
  <si>
    <t xml:space="preserve">AI researchers should be pushing the boundaries of what's possible with new architectures and training methods. Instead, they waste weeks configuring cloud infrastructure, debugging distributed systems, and optimizing their GPU code. We know because we lived it: While training our own models across thousands of GPUs earlier this year, we spent more time fighting our infrastructure than doing actual research. That's why we're building two things. First, Elastic Cloud: a managed platform that automatically finds the cheapest GPUs across all providers, handles spot instance preemption, and cuts compute costs by up to 80%. Second, automatic kernel optimization that makes training code run faster by modeling hardware topology, often beating hand-tuned implementations. The problem is that getting high performance across different hardware is genuinely hard. NVIDIA's CUDA moat exists because writing fast kernels requires deep expertise. Most teams either accept vendor lock-in or hire expensive kernel engineers. Our goal is to break the CUDA moat. The compute bottleneck is the biggest constraint on AI progress. NVIDIA can't manufacture enough GPUs, and their monopoly keeps prices astronomical. Meanwhile, AMD, Google, and Amazon are shipping capable alternative hardware that nobody uses because the software is too hard. We're breaking that moat. If we succeed, anyone will be able to train state-of-the-art models without thinking past their PyTorch code.</t>
  </si>
  <si>
    <t xml:space="preserve">https://sf-tensor.com</t>
  </si>
  <si>
    <t xml:space="preserve">https://www.ycombinator.com/companies/sf-tensor</t>
  </si>
  <si>
    <t xml:space="preserve">Tinder for jobs</t>
  </si>
  <si>
    <t xml:space="preserve">Tinder for Jobs. Swipe right, AI applies on your behalf.</t>
  </si>
  <si>
    <t xml:space="preserve">B2B -&gt; Human Resources</t>
  </si>
  <si>
    <t xml:space="preserve">Soren</t>
  </si>
  <si>
    <t xml:space="preserve">The AI workforce for business operations.</t>
  </si>
  <si>
    <t xml:space="preserve">Soren builds the AI workforce for business operations. We power companies around the world across a range of traditional industries, including legal, financial services, healthcare, and more. Our specialized AI agents combine frontier intelligence with deep operational expertise to execute critical work behind the scenes, becoming an engine businesses rely on to run faster, leaner, and more effectively. Our goal is to build the AI operating layer that the world’s businesses will run on.</t>
  </si>
  <si>
    <t xml:space="preserve">https://usesoren.com</t>
  </si>
  <si>
    <t xml:space="preserve">https://www.ycombinator.com/companies/soren</t>
  </si>
  <si>
    <t xml:space="preserve">Helping humans and AI agents understand massive codebases</t>
  </si>
  <si>
    <t xml:space="preserve">Sourcebot is an open source code understanding platform for massive codebases. We’re used by thousands of engineers in some of the largest companies in the world, including NVIDIA, Red Hat, Wikimedia, and Arista Networks. Understanding code, not writing it, is the primary bottleneck for large engineering teams. For developers, this means onboarding onto complex codebases faster. For AI agents, it means getting the necessary code context to minimize hallucinations and maximize cohesion within the wider codebase. Sourcebot solves this by giving developers and AI agents the ability to regex search across millions of lines of code instantly, as well as ask questions across thousands of repos using any flagship reasoning model. Being open source and on-prem, we can get deployed in enterprises within minutes before other tools even get approval. We met a decade ago at McGill University and have been building together full time for over 2 years. We’ve personally felt the pain of understanding large codebases while working at Microsoft, EA, Ubisoft, Google, and Meta.</t>
  </si>
  <si>
    <t xml:space="preserve">Specific</t>
  </si>
  <si>
    <t xml:space="preserve">The cloud platform built for coding agents</t>
  </si>
  <si>
    <t xml:space="preserve">Specific lets your coding agent write code and build the infrastructure to deploy it. Connect your favorite coding agent and start building immediately. Run `specific dev` to get a full local environment running in seconds. Run `specific deploy` to go to production on our scalable cloud platform in minutes.</t>
  </si>
  <si>
    <t xml:space="preserve">https://specific.dev</t>
  </si>
  <si>
    <t xml:space="preserve">https://www.ycombinator.com/companies/specific</t>
  </si>
  <si>
    <t xml:space="preserve">Specific Labs</t>
  </si>
  <si>
    <t xml:space="preserve">Real World Environments and Data for AI</t>
  </si>
  <si>
    <t xml:space="preserve">Specific builds enterprise environments and datasets representative of work inside real-world businesses. The next frontier of AGI is bottlenecked by data that is hard to access, and we make that easier.</t>
  </si>
  <si>
    <t xml:space="preserve">https://withspecific.com</t>
  </si>
  <si>
    <t xml:space="preserve">https://www.ycombinator.com/companies/specific-labs</t>
  </si>
  <si>
    <t xml:space="preserve">Structured AI</t>
  </si>
  <si>
    <t xml:space="preserve">The AI drawing review platform for architects and engineers.</t>
  </si>
  <si>
    <t xml:space="preserve">Structured AI is the most advanced AI-powered QA/QC platform for drawing packages, working across both PDF drawings and native Revit models. Architects and engineers use our platform to make every drawing set leave the office with certainty. Our AI agents learn your firm's standards, apply the relevant codes, and read every page of a set, then return a clear list of what's wrong, where it sits, and how to fix it. Run compliance reviews across thousands of pages in minutes, chat with your drawings for sourced answers, build custom checks in plain English, compare versions, overlay disciplines, and close out comments - all within a single platform, with a full audit trail on every finding. For decades, the last line of defense on a drawing set has been a red pen at the end of a deadline week. But buildings have outgrown the red pen. A modern set runs thousands of drawings, and the errors hiding between them threaten quality and safety, not just cost. What manual review misses resurfaces as RFIs, change orders, and field rework, paid for in time, margin, and reputation. Structured AI catches those errors before they leave the office, capturing the judgment of your best reviewer once and applying it everywhere. Better drawings build a better world. #GetStructured</t>
  </si>
  <si>
    <t xml:space="preserve">https://www.getstructured.ai/</t>
  </si>
  <si>
    <t xml:space="preserve">https://www.ycombinator.com/companies/structured-ai</t>
  </si>
  <si>
    <t xml:space="preserve">Sylvian</t>
  </si>
  <si>
    <t xml:space="preserve">Specialized AI Agents.</t>
  </si>
  <si>
    <t xml:space="preserve">Sylvian helps companies build specialized AI agents.</t>
  </si>
  <si>
    <t xml:space="preserve">https://sylvian.ai</t>
  </si>
  <si>
    <t xml:space="preserve">https://www.ycombinator.com/companies/sylvian</t>
  </si>
  <si>
    <t xml:space="preserve">Tell if AI</t>
  </si>
  <si>
    <t xml:space="preserve">AI agents on real phones, growing brands across every platform.</t>
  </si>
  <si>
    <t xml:space="preserve">An AI-run performance marketing agency. We deploy autonomous agents on a fleet of real mobile phones that create, post, and grow content across YouTube, TikTok, Instagram, X, Reddit and more operating hundreds of accounts in parallel, indistinguishable from human creators. Brands hire us the way they'd hire a growth agency, but instead of a team of marketers we run the entire pipeline autonomously: ideation, video production, posting, engagement, and audience building. We get paid on revenue share, so our incentives are aligned with our partners' growth. Our first partnership is revenue sharing with a telehealth clinic, where we're driving patient acquisition across dozens of channels we built and operate end-to-end.</t>
  </si>
  <si>
    <t xml:space="preserve">https://tellif.ai</t>
  </si>
  <si>
    <t xml:space="preserve">https://www.ycombinator.com/companies/tell-if-ai</t>
  </si>
  <si>
    <t xml:space="preserve">The Context Company</t>
  </si>
  <si>
    <t xml:space="preserve">Find what's losing you customers and money in your AI agent and fix it</t>
  </si>
  <si>
    <t xml:space="preserve">We analyze every conversation between your customers and your AI agent to find what's losing you customers and money. Then we help ship the fix and prove it worked. Nobody on the team can read every conversation once an agent is in production. TCC does, and turns them into patterns tied to the accounts they affect: where customers get stuck, what they wish the agent could do, and where it's spending more than it needs to. Engineers ask about a pattern from their IDE through our MCP, get the conversations and traces behind it down to the tool call or prompt that went wrong, ship the fix, and benchmark cost and quality before and after. Product sees what customers are actually trying to do with the agent and where it falls short, broken out by topic and account, which becomes the backlog for what to build next. Customer success sees which accounts the agent is struggling with before the customer says anything, and steps in with the full conversation on hand. Any agent framework, a few lines of code. If you're running an agent in production or about to launch, ping us.</t>
  </si>
  <si>
    <t xml:space="preserve">https://www.thecontextcompany.com</t>
  </si>
  <si>
    <t xml:space="preserve">https://www.ycombinator.com/companies/the-context-company</t>
  </si>
  <si>
    <t xml:space="preserve">The Hog</t>
  </si>
  <si>
    <t xml:space="preserve">Real-time web intelligence API for AI agents and GTM teams</t>
  </si>
  <si>
    <t xml:space="preserve">One API to search, enrich, and monitor the web. An agent is only as good as the data it runs on. Most agents and GTM tools today are stuck pulling stale, fragmented data from a dozen different providers, which caps how good their output can ever be. We unify all of it behind one API. One credit-based API covers people data, company data, web search, deep research, news, social signals, and web scraping. Multi-provider waterfall logic routes each call to the best source and falls back automatically, so you get one integration and one bill instead of stitching together Clay, Apollo, Exa, Tavily, and a handful of others. We're building the data layer that agents and GTM teams plug into to find, understand, and reach their customers.</t>
  </si>
  <si>
    <t xml:space="preserve">https://thehog.ai/</t>
  </si>
  <si>
    <t xml:space="preserve">https://www.ycombinator.com/companies/the-hog</t>
  </si>
  <si>
    <t xml:space="preserve">Tornyol</t>
  </si>
  <si>
    <t xml:space="preserve">We build micro-drones that kill mosquitoes.</t>
  </si>
  <si>
    <t xml:space="preserve">Tornyol builds micro-drones that kill mosquitoes. We use smartphone microphones, car park assist sensors and some clever DSP and control to transform 40-gram toy drones into mosquito killers. Because these drones are so cheap and fast, we will lower the cost of mosquito control by 100x which will enable the eradication of mosquitoes from cities, saving more than a million people each year from Malaria, West Nile, Dengue, etc.</t>
  </si>
  <si>
    <t xml:space="preserve">Consumer -&gt; Consumer Electronics</t>
  </si>
  <si>
    <t xml:space="preserve">https://tornyol.com/</t>
  </si>
  <si>
    <t xml:space="preserve">https://www.ycombinator.com/companies/tornyol</t>
  </si>
  <si>
    <t xml:space="preserve">Trelium</t>
  </si>
  <si>
    <t xml:space="preserve">AI Agents for Enterprise Wide Operations</t>
  </si>
  <si>
    <t xml:space="preserve">Trelium lets enterprise teams build AI agents in simple English to automate back-office work. We serve companies handling custom and bulk operations, including distributors, suppliers, and decorators across the print, merch, and apparel industries, automating workflows like order entry, purchase order creation, PO-invoice matching, order-status follow-ups, and many more.</t>
  </si>
  <si>
    <t xml:space="preserve">https://www.trelium.com</t>
  </si>
  <si>
    <t xml:space="preserve">https://www.ycombinator.com/companies/trelium</t>
  </si>
  <si>
    <t xml:space="preserve">API for parsing multimodal unstructured data</t>
  </si>
  <si>
    <t xml:space="preserve">AI teams spend 6+ months building document workflows, yet fewer than 10% ever reach production. Generic LLM parsers and OCR collapse on multimodal documents with text, tables, images, and charts. Poor parsing and suboptimal chunking cripple RAG pipelines and downstream automation. Unsiloed AI has built state-of-the-art vision models which serves as the infrastructure layer for turning unstructured data into structured, queryable, and LLM-ready assets. Our APIs are already parsing hundreds of thousands of documents for startups and NASDAQ-listed enterprises, powering vertical AI solutions across industries. On public benchmarks, Unsiloed AI consistently outperforms solutions from LlamaIndex, Gemini, Mistral, and Unstructured.io among others.</t>
  </si>
  <si>
    <t xml:space="preserve">Replace marketing agencies with AI</t>
  </si>
  <si>
    <t xml:space="preserve">Uplane replaces marketing agencies with AI. We generate hundreds of ads with matching landing pages and steer the ad spend across channels like Meta, Google, LinkedIn and others. By connecting to CRM and ERP data, Uplane learns what drives profits and continuously improves campaigns. Companies waste billions on bad ads, mismatched landing pages, and poor budget allocation. Uplane fixes this by replacing a patchwork of agencies, spreadsheets, and siloed tools with one self-improving system. The result: Higher ROAS for enterprises and effortless, expert-level marketing for SMBs.</t>
  </si>
  <si>
    <t xml:space="preserve">Velvet</t>
  </si>
  <si>
    <t xml:space="preserve">Expressive conversational AI</t>
  </si>
  <si>
    <t xml:space="preserve">https://velvetlab.ai</t>
  </si>
  <si>
    <t xml:space="preserve">https://www.ycombinator.com/companies/velvet</t>
  </si>
  <si>
    <t xml:space="preserve">Continuous AI pentesting that finds and fixes vulnerabilities</t>
  </si>
  <si>
    <t xml:space="preserve">Veria Labs is developing AI agents that hack better than the best human hackers. Founded by members of the #1 US competitive hacking team, we've already found critical bugs in AI tools, operating systems, fintech and billion dollar crypto exchanges. Now we're scaling that expertise through AI-native security tooling that operates faster than human researchers while finding deeper, more complex vulnerabilities that traditional tools miss.</t>
  </si>
  <si>
    <t xml:space="preserve">Wardstone</t>
  </si>
  <si>
    <t xml:space="preserve">The Modular Interceptor Platform</t>
  </si>
  <si>
    <t xml:space="preserve">Wardstone builds a low-cost, modular interceptor platform for air and missile defense. Our platform enables the warfighter to right sizes their interceptors against the threat. This allows us to defeat air-breathing and ballistic missile threats at a fraction of the cost of exquisite interceptors, adding affordable magazine depth to existing air defense systems.</t>
  </si>
  <si>
    <t xml:space="preserve">Industrials -&gt; Aviation and Space</t>
  </si>
  <si>
    <t xml:space="preserve">https://www.wardstone.us</t>
  </si>
  <si>
    <t xml:space="preserve">https://www.ycombinator.com/companies/wardstone</t>
  </si>
  <si>
    <t xml:space="preserve">Zalos</t>
  </si>
  <si>
    <t xml:space="preserve">Hire Zalos AI workers to run your finance department</t>
  </si>
  <si>
    <t xml:space="preserve">Zalos is the Finance Automation Workbench for enterprise finance teams. Zero Integrations | Transparent Decisioning | Outcome-based Pricing Learn more at www.zalos.ai/contact-us Zalos AI Workers automate processes with improved accuracy, controls &amp; auditability, using a Finance-specific agent harness &amp; skill library. Backed by Y Combinator, 14 Peaks, Cohen Circle and strategic angels such as CFO Fedex, Board Member TA Associates, COO Deel and more. Hire Zalos AI workers such as: • Zalos AI Staff Accountant • Zalos AI Billing Analyst • Zalos AI AP Analyst • Zalos AI Treasury Manager And more. Discuss your enterprise finance transformation at www.zalos.ai/contact-us</t>
  </si>
  <si>
    <t xml:space="preserve">https://www.zalos.ai/</t>
  </si>
  <si>
    <t xml:space="preserve">https://www.ycombinator.com/companies/zalos</t>
  </si>
  <si>
    <t xml:space="preserve">AI Associates for Middle-Market Private Equity</t>
  </si>
  <si>
    <t xml:space="preserve">Zarna is private equity's first AI associate class. Built for BD teams at middle-market firms, our agents manage your CRM, source new opportunities, and prep you for every meeting. Runs natively in Outlook and Teams.</t>
  </si>
  <si>
    <t xml:space="preserve">Zavo</t>
  </si>
  <si>
    <t xml:space="preserve">Unlocking the world’s most valuable data for frontier AI.</t>
  </si>
  <si>
    <t xml:space="preserve">Zavo is a data company building proprietary, real-world data infrastructure for frontier AI. We partner with hospitals, businesses, operators and expert networks globally to access hard-to-reach data that cannot be found on the public internet. We source, structure, annotate and license this data for model training, post-training and evaluation, and use it to build specialised benchmarks and reinforcement learning environments grounded in real-world workflows, expert decisions and outcomes. Our focus spans healthcare and robotics, where high-quality proprietary data, realistic environments and reliable evaluations are critical to building increasingly capable AI systems.</t>
  </si>
  <si>
    <t xml:space="preserve">https://zavo.ai</t>
  </si>
  <si>
    <t xml:space="preserve">https://www.ycombinator.com/companies/zavo</t>
  </si>
  <si>
    <t xml:space="preserve">Zephyr Fusion</t>
  </si>
  <si>
    <t xml:space="preserve">Powering tomorrow's industrial revolution in space</t>
  </si>
  <si>
    <t xml:space="preserve">Zephyr Fusion is building the first in-orbit fusion power source: a megawatt-class reactor enabling large-scale industry in space, at a fraction of the cost of equivalent solar. Founded by former physicists from Lawrence Livermore and Oak Ridge National Laboratories, Zephyr leverages decades of fusion research to deliver a compact magnetic confinement system designed to take advantage of the space environment.</t>
  </si>
  <si>
    <t xml:space="preserve">San Diego, CA, USA</t>
  </si>
  <si>
    <t xml:space="preserve">Industrials -&gt; Energy</t>
  </si>
  <si>
    <t xml:space="preserve">https://www.zephyrfusion.com</t>
  </si>
  <si>
    <t xml:space="preserve">https://www.ycombinator.com/companies/zephyr-fusion</t>
  </si>
  <si>
    <t xml:space="preserve">/dev/fast is the AI-native code forge</t>
  </si>
  <si>
    <t xml:space="preserve">/dev/fast is the AI-native code forge. We're building Whiteboard, an open-source canvas for thoughtful software design. The Whiteboard app is designed to give you confidence in your code. Critique interactive visualizations, diffs, and agent traces, all from one interface. Learn more at https://dev.fast</t>
  </si>
  <si>
    <t xml:space="preserve">Winter 2026</t>
  </si>
  <si>
    <t xml:space="preserve">10x Science</t>
  </si>
  <si>
    <t xml:space="preserve">The AI-native platform for next-generation protein characterization.</t>
  </si>
  <si>
    <t xml:space="preserve">10x Science develops frontier AI models with deep memory to redefine how scientists understand and engineer biology across the life sciences, starting with drug development. AI-powered drug discovery is flooding the pipeline with new candidates faster than ever. But before any of them can advance to the clinic, scientists must deeply characterize the protein therapeutic to understand whether it will work. Today, that process takes months of manual, error-prone analysis that cannot keep pace with discovery. Our AI-native platform automates it, giving drug developers the confidence to advance the right candidates and stop the wrong ones early. We have strong commercial traction with enterprise pharma customers. Our founding team built the field of next-generation protein characterization out of Carolyn Bertozzi's Nobel laureate lab at Stanford. Collectively, we have 18+ years of collective domain expertise, 47+ scientific publications, and a 2x YC Founder. We move at the highest velocity and are positioned to lead the next generation of modern AI development in the life sciences.</t>
  </si>
  <si>
    <t xml:space="preserve">https://10xscience.com</t>
  </si>
  <si>
    <t xml:space="preserve">https://www.ycombinator.com/companies/10x-science</t>
  </si>
  <si>
    <t xml:space="preserve">21st</t>
  </si>
  <si>
    <t xml:space="preserve">UI building blocks for the agentic internet</t>
  </si>
  <si>
    <t xml:space="preserve">21st.dev is the largest React component registry for AI applications, used by 2M developers We provide the building blocks to create agent-powered apps: UI components, agent templates.</t>
  </si>
  <si>
    <t xml:space="preserve">https://21st.dev</t>
  </si>
  <si>
    <t xml:space="preserve">https://www.ycombinator.com/companies/21st</t>
  </si>
  <si>
    <t xml:space="preserve">Aemon</t>
  </si>
  <si>
    <t xml:space="preserve">The Forward-Deployed AI Research Engineer</t>
  </si>
  <si>
    <t xml:space="preserve">Aemon is the first autonomous research engineer that delivers state-of-the-art solutions to your engineering problems. It generates, tests, and evolves thousands of approaches at machine speed to discover optimal solutions beyond what human experts can find. Aemon already set a new world record on an NP-hard math optimization problem with &lt;$10 of compute, beating the previous record set by Google DeepMind in 2025. Ray and Richard (twin brothers) dropped out of UWaterloo and UIUC to build Aemon. They published at top AI conferences like ICLR and EMNLP before turning 20.</t>
  </si>
  <si>
    <t xml:space="preserve">https://aemon.ai/</t>
  </si>
  <si>
    <t xml:space="preserve">https://www.ycombinator.com/companies/aemon</t>
  </si>
  <si>
    <t xml:space="preserve">Agentic Fabriq</t>
  </si>
  <si>
    <t xml:space="preserve">The control plane for AI agents.</t>
  </si>
  <si>
    <t xml:space="preserve">Agentic Fabriq helps companies securely manage what AI agents can access and do across business tools, data, and teams. We give each agent an identity, scoped permissions, approval flows, and audit logs, so employees and customer-facing workflows can use agents without relying on shared API keys, overbroad service accounts, or one-off integrations.</t>
  </si>
  <si>
    <t xml:space="preserve">https://www.agenticfabriq.com</t>
  </si>
  <si>
    <t xml:space="preserve">https://www.ycombinator.com/companies/agentic-fabriq</t>
  </si>
  <si>
    <t xml:space="preserve">Alt-X</t>
  </si>
  <si>
    <t xml:space="preserve">Building the best venue for private markets exposure.</t>
  </si>
  <si>
    <t xml:space="preserve">Alt-X is building the AI-native liquidity layer for private markets. Private markets have created trillions of dollars in value, yet remain fragmented, illiquid, and inaccessible. While public markets benefit from exchanges, market makers, brokerages, and data infrastructure, private markets still rely on brokers, spreadsheets, and manual workflows to connect buyers and sellers. Alt-X uses AI to automate the core functions required to make private assets liquid. We streamline diligence, valuation, investor matching, and transaction execution, reducing the friction that makes private-market transactions slow, expensive, and opaque today. Our initial focus is venture-backed secondaries. We source opportunities from founders, employees, and early investors while building a network of accredited investors seeking exposure to the world's most valuable private companies. Over time, we believe every private asset—from startup equity to private credit and alternative investments—will require modern liquidity infrastructure. Building trusted infrastructure for private markets is difficult. Transactions involve complex diligence, fragmented information, transfer restrictions, and significant compliance requirements. Alt-X is focused on creating systems that can support real transactions at scale, not just marketplace listings. Ryan Samadi (Stanford CS/AI, former Citadel commodities trader) and Michael Wachsman (Cornell CS, infrastructure engineer) are building Alt-X because they believe ownership of innovation should be more liquid, transparent, and accessible. Today, Alt-X has sourced over $1.5 million in transaction opportunities and assembled a network of 40 accredited investors representing hundreds of millions of dollars in investable assets. Our mission is to democratize ownership of innovation by building the financial infrastructure that private markets have never had.</t>
  </si>
  <si>
    <t xml:space="preserve">https://alt-x.co</t>
  </si>
  <si>
    <t xml:space="preserve">https://www.ycombinator.com/companies/alt-x</t>
  </si>
  <si>
    <t xml:space="preserve">Anchorhead</t>
  </si>
  <si>
    <t xml:space="preserve">Evals for frontier research agents</t>
  </si>
  <si>
    <t xml:space="preserve">We build custom evals for product teams, as a service. To build these eval sets, we source domain experts and have them turn their work into original, real world evals. For example, our research engineering experts have create tasks involving optimizing an algorithm, deploying a model, or running experiments to solve a novel problem. A grader scores the agent’s performance, and these scores serve as signals during evaluations.</t>
  </si>
  <si>
    <t xml:space="preserve">https://www.anchorhead.ai</t>
  </si>
  <si>
    <t xml:space="preserve">https://www.ycombinator.com/companies/anchorhead</t>
  </si>
  <si>
    <t xml:space="preserve">Approxima</t>
  </si>
  <si>
    <t xml:space="preserve">Your software should build itself.</t>
  </si>
  <si>
    <t xml:space="preserve">Human-assisted development should be for novel ideation, not routine maintenance, bug fixes or incremental updates. Approxima is bringing you that future with agents that can scope work, code, validate their fixes end-to-end in sandbox environments and merge to production. Book a demo: https://calendly.com/ashish-selvaraj/approxima</t>
  </si>
  <si>
    <t xml:space="preserve">https://approxima.ai</t>
  </si>
  <si>
    <t xml:space="preserve">https://www.ycombinator.com/companies/approxima</t>
  </si>
  <si>
    <t xml:space="preserve">ARC Prize Foundation</t>
  </si>
  <si>
    <t xml:space="preserve">AI benchmarks that measure general intelligence and inspire new ideas</t>
  </si>
  <si>
    <t xml:space="preserve">ARC Prize builds AI benchmarks that measure general intelligence. Our benchmark, ARC-AGI, has been used by OpenAI, Anthropic, Google DeepMind, and xAI. Founded by Mike Knoop and Francois Chollet, we inspire open source artificial general intelligence (AGI) research through benchmarks (the ARC-AGI series), global competitions, research grants, community, and content, we exist to guide researchers, industry, and regulators on the path to AGI. We believe that AGI requires more than just scaling up existing AI models. It demands a fundamental shift towards systems capable of genuine fluid intelligence, the ability to adapt to novel challenges and solve problems efficiently, much like humans do.</t>
  </si>
  <si>
    <t xml:space="preserve">Industrials</t>
  </si>
  <si>
    <t xml:space="preserve">https://arcprize.org/</t>
  </si>
  <si>
    <t xml:space="preserve">https://www.ycombinator.com/companies/arc-prize-foundation</t>
  </si>
  <si>
    <t xml:space="preserve">Ashr</t>
  </si>
  <si>
    <t xml:space="preserve">Enterprise post-training, monitoring, and continual learning platform</t>
  </si>
  <si>
    <t xml:space="preserve">Ashr Manifold is a self-contained model training, hosting, observability, and continual learning platform for purpose-built open-weight models. Startups can use Manifold to post-train and manage fleets of continuously improving open-weight models without having a dedicated research team or infrastructure. Ultimately, this reduces operating costs and allows a greater degree of control over proprietary company knowledge. Enterprises can use Manifold to encode institutional judgements and priorities into open-weight models, reduce token costs, and manage every level of the AI life cycle, from data curation, to model serving on weights and infrastructure they own.</t>
  </si>
  <si>
    <t xml:space="preserve">https://ashr.io</t>
  </si>
  <si>
    <t xml:space="preserve">https://www.ycombinator.com/companies/ashr</t>
  </si>
  <si>
    <t xml:space="preserve">Real-world human movement data for humanoid robots</t>
  </si>
  <si>
    <t xml:space="preserve">Asimov collects real-world human movement data from households and businesses to train humanoid robots. Unlike factory datasets that capture the same tasks in the same environments, we deliver the full diversity of real human environments, thousands of hours a day to leading labs.</t>
  </si>
  <si>
    <t xml:space="preserve">Claude code for Mechanical Engineers</t>
  </si>
  <si>
    <t xml:space="preserve">There are 2 problems: The first, CAD software is slow and the second, designing with it is a tedious process with many steps. Aurorin solves both of these problems by being a CAD software built from the ground up on a modern tech stack with AI at its heart. Building the CAD kernel lets us fully leverage AI while modernizing execution speed. Almost all existing CAD software (Solidworks, NX, Creo, Catia, Fusion 360, Onshape etc) use the same couple of underlying CAD kernels built in the 80's. It's common for these programs to take 4 hours to open a file. Aurorin uses a custom parametric and B-Rep driven CAD Kernel built to take full advantage of modern CPUs and GPUs and be AI native.</t>
  </si>
  <si>
    <t xml:space="preserve">AutoSitu</t>
  </si>
  <si>
    <t xml:space="preserve">The AI operating system for the built world</t>
  </si>
  <si>
    <t xml:space="preserve">At AutoSitu, we’re building the AI operating system for the built world—coordinated AI agents that work across development, design, review, and construction. Our agents analyze complex plans, requirements, and project documentation in minutes—surfacing critical issues, doing the heavy lifting, and escalating the decisions that require human expertise. From site feasibility and entitlement risk to QA/QC, code compliance, constructability, quantity takeoff, and scope analysis, AutoSitu helps cities, architects, engineers, developers, and construction teams identify problems earlier and move projects forward with greater speed and confidence. We serve as a strategic AI partner to forward-thinking public agencies and AEC organizations across the country and are backed by Y Combinator (W26).</t>
  </si>
  <si>
    <t xml:space="preserve">https://autositu.com/</t>
  </si>
  <si>
    <t xml:space="preserve">https://www.ycombinator.com/companies/autositu</t>
  </si>
  <si>
    <t xml:space="preserve">Autumn AI</t>
  </si>
  <si>
    <t xml:space="preserve">Everything on anyone.</t>
  </si>
  <si>
    <t xml:space="preserve">Autumn is building the world’s most comprehensive index of people and companies. Information about anyone is scattered across profiles, filings, event pages, code, posts, news, and the rest of the open web. Autumn reads across these sources, determines which records belong together, and creates a complete, source-backed profile of people and companies - including relationships, work history, contact information, and digital footprint. Search for anyone, build a cohort, or research a company through our API.</t>
  </si>
  <si>
    <t xml:space="preserve">https://autumn.ai</t>
  </si>
  <si>
    <t xml:space="preserve">https://www.ycombinator.com/companies/autumn-ai</t>
  </si>
  <si>
    <t xml:space="preserve">Avoice</t>
  </si>
  <si>
    <t xml:space="preserve">AI-native workspace for AEC</t>
  </si>
  <si>
    <t xml:space="preserve">Avoice is an all-in-one, AI-native platform for running an architecture practice. It covers the whole arc of a project: pricing and proposals to win the work, research and schedules in early design, specifications and QA/QC checks through documentation, contract particulars and preliminaries at tender, then RFIs, submittals, instructions, certificates and valuations through construction, and the compliance record at handover. Timesheets, fees, financials and invoicing run alongside, with Xero and QuickBooks. Specification is the most-used part of the platform. Avoice drafts coordinated, tender-ready specifications from a practice's own drawings, schedules and office masters, then checks them back against those drawings. Work that normally takes weeks takes an afternoon. Practices in the UK, US, Australia and New Zealand use Avoice, from boutique studios to firms of several hundred people. It integrates with Revit and ArchiCAD.</t>
  </si>
  <si>
    <t xml:space="preserve">https://avoice.co/</t>
  </si>
  <si>
    <t xml:space="preserve">https://www.ycombinator.com/companies/avoice</t>
  </si>
  <si>
    <t xml:space="preserve">AxionOrbital Space</t>
  </si>
  <si>
    <t xml:space="preserve">Foundation models for 24/7 Earth Observation</t>
  </si>
  <si>
    <t xml:space="preserve">AxionOrbital Space builds foundation models that enable continuous visibility through clouds and darkness. Legacy optical satellites are rendered useless 70% of the time by weather and night cycles, while Synthetic Aperture Radar (SAR) produces data that is unintelligible to humans and breaks standard vision pipelines. We solve this by translating raw radar backscatter into analysis-ready optical imagery in real-time. Our proprietary architecture uses deterministic one-step diffusion to transform complex radar signals into clear, photorealistic images. This enables persistent, 24/7 situational awareness for defense, commodities trading, and disaster response, guaranteeing visibility even when the sky is blocked.</t>
  </si>
  <si>
    <t xml:space="preserve">https://axionorbital.space/</t>
  </si>
  <si>
    <t xml:space="preserve">https://www.ycombinator.com/companies/axionorbital-space</t>
  </si>
  <si>
    <t xml:space="preserve">Axis</t>
  </si>
  <si>
    <t xml:space="preserve">An AI Copilot for Trading Desks</t>
  </si>
  <si>
    <t xml:space="preserve">Axis is building an AI Native Trading System, allowing a trader to deploy models that monitor and analyze relevant markets and strategies. We've chosen commodities as our first market. Commodities make up a third of global goods exports, and physical commodities traders decide the movement and storage of metals, agricultural products, and energy across the globe. They trade in public markets and bilateral OTC agreements. Engaging in these markets is complexing, covering derivatives positioning, refinery data, storage inventory, import/exports, geopolitical events and more. Axis is building an AI driven analytical layer for these markets.</t>
  </si>
  <si>
    <t xml:space="preserve">https://axisanalysis.com</t>
  </si>
  <si>
    <t xml:space="preserve">https://www.ycombinator.com/companies/axis-2</t>
  </si>
  <si>
    <t xml:space="preserve">Balance</t>
  </si>
  <si>
    <t xml:space="preserve">Full-Stack AI Accounting</t>
  </si>
  <si>
    <t xml:space="preserve">Balance is an AI accounting firm that helps SMBs close their monthly books. Our agents do the work of an in-house finance hire, reconciling books in real time and flagging issues before they become problems.</t>
  </si>
  <si>
    <t xml:space="preserve">https://getbalance.ai</t>
  </si>
  <si>
    <t xml:space="preserve">https://www.ycombinator.com/companies/getbalance</t>
  </si>
  <si>
    <t xml:space="preserve">BaseFrame</t>
  </si>
  <si>
    <t xml:space="preserve">Detect what AI can automate for your team</t>
  </si>
  <si>
    <t xml:space="preserve">Most teams want to plug in AI but don't know where to get started. BaseFrame's desktop app finds exactly what to automate for each employee using the historic data on their computer. Instead of relying on screen recording or generic AI demos, we use the existing history of how work gets done across email, docs, Slack, calendar, browser, and files to identify the highest-value automations. We use local models so that your sensitive data doesn’t have to leave your system. Once you find a set of automations, send them off to your automation tool of choice and share them with your team so that everyone can get productivity boosts.</t>
  </si>
  <si>
    <t xml:space="preserve">https://baseframe.co</t>
  </si>
  <si>
    <t xml:space="preserve">https://www.ycombinator.com/companies/baseframe</t>
  </si>
  <si>
    <t xml:space="preserve">Beacon Health</t>
  </si>
  <si>
    <t xml:space="preserve">AI Employees for Primary Care</t>
  </si>
  <si>
    <t xml:space="preserve">Beacon Health (YC W26) is building AI employees that double revenue for primary care practices while also reducing the total cost of care. Primary care is the primary source of care for over 200M Americans, but physicians don’t have the bandwidth to manage their patient panels. Beacon Health builds AI employees that automate tedious background workflows - preventative screenings, prior authorizations, referrals, and risk adjustment. We handle these workflows from start to finish, directly in their EHR. We’re on a mission is to bring joy back to primary care.</t>
  </si>
  <si>
    <t xml:space="preserve">https://www.beaconhealth.ai/</t>
  </si>
  <si>
    <t xml:space="preserve">https://www.ycombinator.com/companies/beacon-health</t>
  </si>
  <si>
    <t xml:space="preserve">BeeSafe AI</t>
  </si>
  <si>
    <t xml:space="preserve">Frontier AI Defenses for Social Engineering Attacks</t>
  </si>
  <si>
    <t xml:space="preserve">BeeSafe AI is building the frontier model layer for social engineering defense. Cyberattacks have moved from code to conversation: attackers now use AI to carry out long-term, trust-based manipulation across SMS, voice, email, and social platforms, often inside encrypted channels where defenders cannot see, detect, or stop them. BeeSafe changes that by deploying undercover AI agents that engage attackers directly, expose hidden infrastructure, and convert live adversarial conversations into actionable intelligence. Each engagement adds to BeeSafe's proprietary dataset of real attacker behavior and trains foundational models that continually learn about counter-persuasion, deception, and manipulation in the wild. BeeSafe is starting in financial crime, where banks already value our data against Authorized Push Payment (APP) fraud and money laundering, but the opportunity is far broader. The same data and models that uncover mule networks today can protect consumers, secure enterprises, and strengthen governments against the next generation of AI-powered social engineering attacks tomorrow.</t>
  </si>
  <si>
    <t xml:space="preserve">https://beesafe.ai/</t>
  </si>
  <si>
    <t xml:space="preserve">https://www.ycombinator.com/companies/beesafe-ai</t>
  </si>
  <si>
    <t xml:space="preserve">Beyond Reach Labs</t>
  </si>
  <si>
    <t xml:space="preserve">Space solar arrays that grow to the size of a football field in orbit</t>
  </si>
  <si>
    <t xml:space="preserve">At Beyond Reach Labs we are building solar panels for Space that grow from the size of a dining table to a football field in orbit. Mitch and Pele met 13 years ago as freshmen at UPenn studying mechanical engineering. Mitch recently got his PhD at Carnegie Mellon working with NASA on kilometer-scale deployable structures, and Pele spent seven years at SpaceX leading Dragon parachute engineering, safely returning astronauts from space. The collective satellites today use around 20MW, roughly the output of a datacenter on earth, but by 2030 there is a demand for over 10GW, a 500x increase, largely driven by orbital datacenters, space stations, and lunar outposts. If you want more power, your only option is to launch larger solar panels, which quickly become fragile or impractically expensive. As a result, power constraints already determine whether missions or industries can exist at all. But at Beyond Reach Labs we have introduced a new class of deployable solar panels giving satellites 10x more usable power without increasing launch mass or volume. This works because our patented deployable design changes geometry in space, allowing for us to reach 10x longer while remaining rigid.</t>
  </si>
  <si>
    <t xml:space="preserve">https://www.beyondreachlabs.com</t>
  </si>
  <si>
    <t xml:space="preserve">https://www.ycombinator.com/companies/beyond-reach-labs</t>
  </si>
  <si>
    <t xml:space="preserve">AI Takeoffs for Electrical</t>
  </si>
  <si>
    <t xml:space="preserve">We use AI to help electricians speed up the time it takes to submit a competitive bid to a job. We do this by scanning complex CAD drawings and 10X-ing the time it takes to estimate a job. This involves using vision models to read and count complex symbols in large PDFs, which typically take hours (sometimes days) to do precisely. Every missed symbol can cost thousands, and our AI can count to 99% accuracy.</t>
  </si>
  <si>
    <t xml:space="preserve">Booko</t>
  </si>
  <si>
    <t xml:space="preserve">Dynamically pricing the whole economy.</t>
  </si>
  <si>
    <t xml:space="preserve">Booko helps businesses that sell bookable time slots make more money by dynamically pricing their time. Unlike physical inventory, unsold time slots disappear forever, yet most time-slot-based businesses still rely on static pricing. We integrate with existing booking systems to adjust prices and incentives based on historical utilization, availability, and demand. Early customers see ~20% revenue uplift by selling time that would have otherwise gone unsold.</t>
  </si>
  <si>
    <t xml:space="preserve">https://booko.com</t>
  </si>
  <si>
    <t xml:space="preserve">https://www.ycombinator.com/companies/booko</t>
  </si>
  <si>
    <t xml:space="preserve">Robot Cowboys that Herd Cattle with AI Drones</t>
  </si>
  <si>
    <t xml:space="preserve">Brumby builds autonomous drones that herd cattle. On command, our drones fly to a paddock, position themselves around the mob, and move them where they need to go. What used to take a full day of helicopters, motorbikes, and horses now runs on a schedule. We work with some of the largest cattle ranches in the world. While the drones are herding, they're also estimating animal weights, measuring grass biomass, monitoring water levels, and flagging sick animals. We're building physical AI that lets a grazier manage thousands of head across millions of acres from their phone.</t>
  </si>
  <si>
    <t xml:space="preserve">Industrials -&gt; Agriculture</t>
  </si>
  <si>
    <t xml:space="preserve">Bubble Lab</t>
  </si>
  <si>
    <t xml:space="preserve">Turn gatherings into lasting relationships.</t>
  </si>
  <si>
    <t xml:space="preserve">Bubble Lab helps event organizers and professional communities turn a room full of people into meaningful connections. We help them understand who’s in the room, identify who should meet, make the introduction, and remember those relationships for the next event. Attendee enrichment, matchmaking, searchable member directories, applications, payments, Luma and Slack sync, onboarding, and analytics all live in one place, so a single operator can run better gatherings and build a smarter community over time.</t>
  </si>
  <si>
    <t xml:space="preserve">https://bubblelab.ai/</t>
  </si>
  <si>
    <t xml:space="preserve">https://www.ycombinator.com/companies/bubble-lab</t>
  </si>
  <si>
    <t xml:space="preserve">Burt</t>
  </si>
  <si>
    <t xml:space="preserve">AI teammates for logistics</t>
  </si>
  <si>
    <t xml:space="preserve">We're building for the people that keep the world moving. Freight brokers and forwarders operate on razor-thin margins in a relationship-driven business — yet most of their teams spend the majority of their day on manual, repetitive work. We help freight brokers and forwarders build AI teammates that handle their repetitive, manual tasks so teams have time to focus on customers, carriers, and growing the business.</t>
  </si>
  <si>
    <t xml:space="preserve">https://www.burthq.com/</t>
  </si>
  <si>
    <t xml:space="preserve">https://www.ycombinator.com/companies/burt</t>
  </si>
  <si>
    <t xml:space="preserve">The tiny computer built for voice AI.</t>
  </si>
  <si>
    <t xml:space="preserve">We’re launching a small hardware device: a button that you clip to your shirt. You press it to talk to AI, and it responds instantly.</t>
  </si>
  <si>
    <t xml:space="preserve">Byteport</t>
  </si>
  <si>
    <t xml:space="preserve">Global upload acceleration for 1GB-100TB files.</t>
  </si>
  <si>
    <t xml:space="preserve">Founded in 2025, Byteport is a technology company that builds mission-critical network infrastructure for robotics, satellite, AI, and enterprise applications all over the world. Businesses of every size—from new startups to public companies—use our software to accelerate file transfer online.</t>
  </si>
  <si>
    <t xml:space="preserve">https://byteport.com/</t>
  </si>
  <si>
    <t xml:space="preserve">https://www.ycombinator.com/companies/byteport</t>
  </si>
  <si>
    <t xml:space="preserve">Cajal</t>
  </si>
  <si>
    <t xml:space="preserve">Scaling formal verification to accelerate scientific discovery</t>
  </si>
  <si>
    <t xml:space="preserve">Cajal (YC W26) is massively scaling formal verification to accelerate scientific discovery. We deploy superhuman AI mathematicians to high-impact applied domains, starting with quantum computing and finance. We do this with Lean - a framework that allows us to formally verify any mathematical statement, grounding AI in truth and validating the tools discovered by our systems.</t>
  </si>
  <si>
    <t xml:space="preserve">https://caj.al/</t>
  </si>
  <si>
    <t xml:space="preserve">https://www.ycombinator.com/companies/cajal-technologies</t>
  </si>
  <si>
    <t xml:space="preserve">Canary</t>
  </si>
  <si>
    <t xml:space="preserve">Adversarial AI that breaks your AI</t>
  </si>
  <si>
    <t xml:space="preserve">AI coding tools have made developers 100x faster but customer-facing incidents are up 43% YoY, QA hasn't kept up. Canary is the first AI QA engineer that understands your codebase. Instead of relying on flaky DOM scraping or screenshot analysis, Canary reads your source code directly to understand developer intent and catch broken user flows before they hit production. Engineering teams go from weeks of manual testing to 90%+ coverage in days. Built by a team that built coding agents at Windsurf, Cognition and Google.</t>
  </si>
  <si>
    <t xml:space="preserve">https://www.runcanary.ai</t>
  </si>
  <si>
    <t xml:space="preserve">https://www.ycombinator.com/companies/canary</t>
  </si>
  <si>
    <t xml:space="preserve">Captain</t>
  </si>
  <si>
    <t xml:space="preserve">Self-tuning search for products and files</t>
  </si>
  <si>
    <t xml:space="preserve">Captain makes product catalogs and complex, multimodal files searchable for customers and AI agents. It syncs files from sources like S3, SharePoint, and Google Drive and tunes search to your data and workloads. Instead of stitching together parsers, embeddings, vector databases, rerankers, and retrieval infrastructure, developers use Captain to power product search and file retrieval through managed APIs. On evaluated file-search benchmarks, Captain’s tuning improved retrieval accuracy from roughly 78% with standard RAG to over 97%. Built for complex catalogs and demanding file-search workloads, including regulated and high-stakes applications.</t>
  </si>
  <si>
    <t xml:space="preserve">https://captain.dev</t>
  </si>
  <si>
    <t xml:space="preserve">https://www.ycombinator.com/companies/captain</t>
  </si>
  <si>
    <t xml:space="preserve">Agentic video editor</t>
  </si>
  <si>
    <t xml:space="preserve">Cardboard is an agentic video editor for growth/marketing teams and serious creators who need to ship videos consistently. Instead of agencies, long timelines, and infinite review cycles, teams give cardboard a footage + a goal (“3 variants”, “30s hook”, “testimonials”) to get a strong first cut in minutes on which they can iterate quickly. Multimodal LLMs can finally reason over footage, and WebGPU/WebCodecs make a real NLE possible in the browser. For the first time, an “AI director” inside a professional editor can be a reality. We have to build two hard things at once: a high-performance editor in the browser and an agentic editor that is reliable for production use cases. Most startups do one; incumbents can’t rebuild their stack without breaking everything. Saksham and Ishan met in school and have known each other since 15 years. Saksham was Co-founder/CTO of Iterate AI (backed by EF) and posts content on social media; Ishan has spent ~5yr building memory-heavy, performance-critical browser apps at HackerRank (S11) and deeply understands browsers. He has built Hotspoter (5M+ downloads) when he was 14. Together, we’re unusually suited to build the editor core others avoid. Video is becoming the default distribution channel, and the team that iterates fastest compounds attention. Cardboard becomes the default workspace for video production, the way Canva/Figma became the workspace for design - because it’s collaborative, fast, and does the tedious parts for you.</t>
  </si>
  <si>
    <t xml:space="preserve">Cardinal</t>
  </si>
  <si>
    <t xml:space="preserve">Revenue Agents for GTM teams</t>
  </si>
  <si>
    <t xml:space="preserve">Hey YC! We're Devi and Jianna - the founders of Cardinal. Hey guys! We’re launching Cardinal publicly today - co’s like Mintlify, Deepgram, Giga, etc. use us to build revenue agents &amp; design how they sell. The Problem “Spray and Pray” outbound is dead. The best teams at outbound do it with extreme precision. Finding things in common with your customers, staying in touch with them through their content, mapping inbound from signups and ads, tracking website visitors, monitoring various signals, etc. This sounds great in theory, but in reality involves stringing together 10+ tools and hiring a GTM engineer. That’s where Cardinal comes in. Cardinal is an AI platform for precision outbound. Our agents can create workflows that normally require the work of fulltime GTM engineers. If you're a founder or sales leader looking to bring AI into your sales org, would love to chat!</t>
  </si>
  <si>
    <t xml:space="preserve">https://trycardinal.com</t>
  </si>
  <si>
    <t xml:space="preserve">https://www.ycombinator.com/companies/trycardinal-ai</t>
  </si>
  <si>
    <t xml:space="preserve">Realtime AI for Sales Calls</t>
  </si>
  <si>
    <t xml:space="preserve">Caretta is a Sales Intelligence for revenue teams. It joins reps in live calls, helping them handle information requests, questions, and objections in real time. Caretta lives in Slack to join the team conversation. Caretta gets smarter automatically: every call expands its knowledge base and objection library, turning conversations into compounding organizational advantage.</t>
  </si>
  <si>
    <t xml:space="preserve">Carrot Labs</t>
  </si>
  <si>
    <t xml:space="preserve">AI Cost Management: Track and attribute AI spend across every provider</t>
  </si>
  <si>
    <t xml:space="preserve">The problem: AI has quietly become one of the largest and fastest-growing line items for companies. Spend is scattered across a dozen provider consoles that each show one number at the end of the month and nothing about why it moved. There's no unified view, and no way to trace a dollar back to the customer, feature, team, or even the pull request that caused it. Which customers are unprofitable once you subtract their AI costs? Which feature is quietly burning your Anthropic budget? Is this week's spike a runaway loop or real growth? How much did that AI-written PR actually cost to ship? Today teams reverse-engineer answers by exporting CSVs from each provider and stitching them together in a spreadsheet, and by the time they do, the money is already spent. What SuperPenguin does: SuperPenguin tracks AI spend across 14 providers (OpenAI, Anthropic, Google Gemini, Deepgram, ElevenLabs, AWS Bedrock, Azure, Modal, Cursor, OpenRouter, and more). * Zero-code setup: connect an API key and costs sync automatically with model-level breakdowns, trends, and forecasts * Per-request attribution: add two lines with our Python or TypeScript SDK to tag every AI call by customer, feature, team, or environment (or any other metadata). * AI coding cost per PR: connect Cursor to see engineering spend attributed to each pull request, repo, and developer, so you know what it actually costs to ship. * Alerts on budget thresholds and spend anomalies, delivered to Slack, email, or Discord. Most teams are set up in under five minutes. We help companies see where their AI money goes and whether it's worth it.</t>
  </si>
  <si>
    <t xml:space="preserve">https://superpenguin.ai/</t>
  </si>
  <si>
    <t xml:space="preserve">https://www.ycombinator.com/companies/carrot-labs</t>
  </si>
  <si>
    <t xml:space="preserve">CatchBack Cards</t>
  </si>
  <si>
    <t xml:space="preserve">The most thrilling way to create and rip digital collectible packs</t>
  </si>
  <si>
    <t xml:space="preserve">CatchBack Cards is a mobile app and website platform for maximizing the thrill of collecting Pokemon and Sports cards. We allow collectors to create custom mystery packs with personalized chases and customized odds with cryptographically trusted tooling. Users can rip open digital packs and get physical cards shipped to them, receive buyback offers on cards pulled from their mystery packs sent straight to Venmo and PayPal, and buy/sell cards in our $1 marketplace.</t>
  </si>
  <si>
    <t xml:space="preserve">https://catchbackcards.com</t>
  </si>
  <si>
    <t xml:space="preserve">https://www.ycombinator.com/companies/catchback-cards</t>
  </si>
  <si>
    <t xml:space="preserve">The agentic drug company. We simulate human biology.</t>
  </si>
  <si>
    <t xml:space="preserve">CellType is building an agentic drug company. AI agents that run the full drug discovery pipeline on top of biological foundation models that simulate human biology. Our core technology, developed with Google DeepMind, has already discovered and validated a new cancer treatment signal. We’re working with Top 10 pharma.</t>
  </si>
  <si>
    <t xml:space="preserve">Chamber</t>
  </si>
  <si>
    <t xml:space="preserve">The AIOps Agent for ML Teams</t>
  </si>
  <si>
    <t xml:space="preserve">Chamber puts your AI infrastructure on autopilot, and saves your machine learning engineers hours of manual effort. Our agents continually monitor, detects failures, provide root-cause analysis, resolve issues, and optimize AI workloads and scale across clouds. It operates like an autonomous infrastructure team, helping save your research and engineers hours each day, and debugging workload performance issues. Your ML teams move faster, infra waste drops, and GPU bottlenecks disappear.</t>
  </si>
  <si>
    <t xml:space="preserve">https://www.usechamber.io</t>
  </si>
  <si>
    <t xml:space="preserve">https://www.ycombinator.com/companies/chamber</t>
  </si>
  <si>
    <t xml:space="preserve">Chasi</t>
  </si>
  <si>
    <t xml:space="preserve">AI Revenue Engine for the Equipment Industry</t>
  </si>
  <si>
    <t xml:space="preserve">Chasi deploys AI agents that help equipment dealers sell more, respond faster, and maximize fleet utilization - 24/7. One-third of the cost to build and maintain the physical world goes to equipment, yet fleet utilization across the industry often sits below 60%. Billions in assets sit idle while dealers drown in phone calls, emails, and manual data entry. Missed quotes, slow follow-ups, and disconnected systems mean lost revenue every day. Chasi plugs into a dealer's existing stack to deploy AI agents that handle sales, rentals, and service requests around the clock. The result: faster response times, higher utilization, and stronger margins, without adding headcount. We automate the busywork so teams can focus on what actually grows the business: customer relationships. Akash Pavan and Sarman Aulakh have built tractors, race cars, and robots, and previously led AI deployments at Tesla, Boeing, and Cummins, where they saw firsthand how much operational value gets left on the table in equipment-heavy industries. Chasi is live across equipment businesses in the US and Europe.</t>
  </si>
  <si>
    <t xml:space="preserve">https://chasi.ai/</t>
  </si>
  <si>
    <t xml:space="preserve">https://www.ycombinator.com/companies/chasi</t>
  </si>
  <si>
    <t xml:space="preserve">AI automated prior-auths for private medical practices</t>
  </si>
  <si>
    <t xml:space="preserve">We automate the entire end-to-end prior-authorization process for private practices for cheaper, and more accurately than they're doing today.</t>
  </si>
  <si>
    <t xml:space="preserve">Healthcare -&gt; Healthcare Services</t>
  </si>
  <si>
    <t xml:space="preserve">CodeWisp</t>
  </si>
  <si>
    <t xml:space="preserve">Anyone can create real games with AI</t>
  </si>
  <si>
    <t xml:space="preserve">CodeWisp lets anyone build and publish web games using plain-English prompts. Traditional game development requires learning complex engines, managing assets and code, and following rigid workflows, making it slow and inaccessible for most people. With CodeWisp, users describe the game they want. CodeWisp generates the game’s code, structure, and assets, and users can refine it with follow-up prompts. This makes it possible to go from idea to a playable web game in minutes, without prior game-development experience.</t>
  </si>
  <si>
    <t xml:space="preserve">https://codewisp.ai/</t>
  </si>
  <si>
    <t xml:space="preserve">https://www.ycombinator.com/companies/codewisp</t>
  </si>
  <si>
    <t xml:space="preserve">Cofia</t>
  </si>
  <si>
    <t xml:space="preserve">AI automations that implement themselves</t>
  </si>
  <si>
    <t xml:space="preserve">Cofia learns how your team runs internal operations and automates the highest-ROI workflows, automatically.</t>
  </si>
  <si>
    <t xml:space="preserve">https://cofia.ai</t>
  </si>
  <si>
    <t xml:space="preserve">https://www.ycombinator.com/companies/cofia</t>
  </si>
  <si>
    <t xml:space="preserve">Compresr</t>
  </si>
  <si>
    <t xml:space="preserve">LLM context compression for better accuracy</t>
  </si>
  <si>
    <t xml:space="preserve">Compresr provides an API that compresses LLM context without losing what matters. It’s a drop-in for agents and RAG that cuts token costs and improves accuracy.</t>
  </si>
  <si>
    <t xml:space="preserve">https://compresr.ai</t>
  </si>
  <si>
    <t xml:space="preserve">https://www.ycombinator.com/companies/compresr</t>
  </si>
  <si>
    <t xml:space="preserve">Condor Energy</t>
  </si>
  <si>
    <t xml:space="preserve">Software for enterprise energy procurement.</t>
  </si>
  <si>
    <t xml:space="preserve">Condor helps large electricity consumers - C&amp;I and data centers - cut electricity costs by helping the grid. We are former electricity traders and energy physicists. We build an AI-powered software that our clients use to optimize their energy procurement - making sure they always have access to cheap &amp; reliable power.</t>
  </si>
  <si>
    <t xml:space="preserve">https://www.condor.energy</t>
  </si>
  <si>
    <t xml:space="preserve">https://www.ycombinator.com/companies/condor-energy</t>
  </si>
  <si>
    <t xml:space="preserve">Confluence Labs</t>
  </si>
  <si>
    <t xml:space="preserve">AI models that learn from experience</t>
  </si>
  <si>
    <t xml:space="preserve">While modern AI excels in any area you can collect a lot of data for, it struggles in areas where data is sparse or costly to attain. Designing new molecules, discovering new physics, and engineering new materials are all domains where collecting data is extremely costly. We dream of a world where AI accelerates research in all of these domains and creates a more abundant future for humanity, but the current technology is not there. That’s why we started Confluence Labs. We are building AI that can design highly effective experiments in data-sparse domains and learn maximally from the data it already has.</t>
  </si>
  <si>
    <t xml:space="preserve">https://confluence.sh</t>
  </si>
  <si>
    <t xml:space="preserve">https://www.ycombinator.com/companies/confluence-labs</t>
  </si>
  <si>
    <t xml:space="preserve">Congruent</t>
  </si>
  <si>
    <t xml:space="preserve">AI native radars for self-driving cars</t>
  </si>
  <si>
    <t xml:space="preserve">At Congruent, we build radars for end-to-end autonomous systems. The most advanced autonomous systems are trained as a single neural network from raw sensor data to navigation actions. For a sensor to be included in these pipelines sensor stacks requires two key properties: access to raw sensor data and a high-fidelity sensor simulator. Current automotive radars have neither, they output heavily processed point clouds and no raw radar simulator exists for driving scenes. Congruent solves both problems: a radar architecture that exposes raw data, paired with a world model based radar simulator. Radar is the only depth sensor at a price point that scales to every car on the road and works in all weather conditions. Congruent is building the radar compatible with the training architectures that will make mass-market vehicles autonomous.</t>
  </si>
  <si>
    <t xml:space="preserve">https://congruent.io</t>
  </si>
  <si>
    <t xml:space="preserve">https://www.ycombinator.com/companies/congruent</t>
  </si>
  <si>
    <t xml:space="preserve">Constellation Space</t>
  </si>
  <si>
    <t xml:space="preserve">AI operating system for mega-scale satellite networks.</t>
  </si>
  <si>
    <t xml:space="preserve">Constellation Space is building the autonomous infrastructure layer for the next generation of space networking. As satellite constellations rapidly scale from hundreds of nodes to tens of thousands, traditional ground-based orchestration fundamentally breaks down. ConstellationOS bridges this gap by providing zero-intervention network handoffs, predictive thermal load-balancing, and sub-second optical routing. Our founding team spent years building and operating satellite systems at SpaceX, Blue Origin, and NASA. We started Constellation to solve the problem we kept running into: reactive monitoring doesn't scale. We are building the sub-second routing protocols and hyperscale load-balancing infrastructure that will manage the future of off-world telecommunications and compute. hello@constellation-io.com</t>
  </si>
  <si>
    <t xml:space="preserve">https://constellation.space/</t>
  </si>
  <si>
    <t xml:space="preserve">https://www.ycombinator.com/companies/constellation-space</t>
  </si>
  <si>
    <t xml:space="preserve">Agentic Mortgage Origination</t>
  </si>
  <si>
    <t xml:space="preserve">Copperlane helps mortgage lenders accelerate the loan process and reduce mistakes in an application. We use AI agents to understand an applicant's profile, verify their documents, and complete initial underwriting tasks.</t>
  </si>
  <si>
    <t xml:space="preserve">Fintech -&gt; Credit and Lending</t>
  </si>
  <si>
    <t xml:space="preserve">Corelayer</t>
  </si>
  <si>
    <t xml:space="preserve">AI production engineer for regulated industries</t>
  </si>
  <si>
    <t xml:space="preserve">Corelayer is the AI-native platform for production software support, built for regulated industries like finance and healthcare. It continuously monitors alerts, logs, infrastructure, and underlying data for issues and uses agents to debug and suggest fixes. We're helping SRE, production services, and on-call engineers at companies ranging from growth-stage fintechs to Fortune 500 financial institutions spend less time on support and more on high-leverage work.</t>
  </si>
  <si>
    <t xml:space="preserve">https://www.corelayer.com</t>
  </si>
  <si>
    <t xml:space="preserve">https://www.ycombinator.com/companies/corelayer</t>
  </si>
  <si>
    <t xml:space="preserve">The AI sales agent for CPG brands</t>
  </si>
  <si>
    <t xml:space="preserve">Corvera (YC W26) is the AI sales agent for CPG brands. We turn the data a brand already has into the actions its sales team takes today. A CPG brand sells into tens of thousands of independent US stores through dozens of distributors, and works that base with a handful of people. CLEAN Cause, a $20M yerba mate brand, covers 21,000 stores through 46 distributors with a four-person sales team. The accounts worth a call are not capped by headcount. The team is. CLEAN Cause now runs its daily sales decisions on Corvera: 5,000 queries in 40 days across 12 users, $250K of opportunities surfaced within days, and a 7x return on the analysts they would otherwise hire. With Corvera in place, every sales rep starts the morning with: - The stores to act on today, ranked and priced, with the reason on the row, - The outreach already drafted to the right contact at the right distributor, and - The follow-up booked, logged, and measured against the goal it was set to move. All from the distributor feeds, retailer portals, and ERP data they already have, resolved into one context layer - without a data team, and without handing their sales to a broker. We’re founded by Chris (2x Founder; ex-CEO at Better Nature; Forbes 30U30), Dirk (ex-Google Data &amp; AI Lead), and Matthew (ex-Head of Product at Rosemark; Princeton MEng in CS). To date, we’ve raised $6.2M and are backed by YC, firstminute capital, 6 Degrees Capital, 20VC, Rebel Fund, Duke Capital Partners, and more. Our ICP is US CPG brands doing $20M+ in retail revenue through UNFI, KeHE and DSD distributors. We sell to VPs of Sales and CEOs. The incumbents prove the scale. Brokers take 5-12% of a $350B US independent grocery market, and Advantage Solutions, a publicly traded company, does $3.5B in annual revenue. Our mission is bold: to enable the next generation of unicorn CPG brands to be run by teams of less than 10 people. Our vision is even bolder: to give every CPG brand the coverage of a full sales team at a fraction of the headcount, and displace the broker network that covers the US independent channel today. Visit www.corvera.ai to learn more!</t>
  </si>
  <si>
    <t xml:space="preserve">Crosslayer Labs</t>
  </si>
  <si>
    <t xml:space="preserve">Protect, monitor and defend your Internet presence</t>
  </si>
  <si>
    <t xml:space="preserve">Crosslayer Labs detects impersonation attacks on websites and APIs. We provide "outside-in" monitoring of customer infrastructure, comprehensively discovering and monitoring all Internet dependencies, including DNS, BGP, TLS certs, Javascript. We correlate signals from different layers of the Internet stack to identify attack patterns. Our alerts are actionable and contain root cause analysis/remediation recommendations. Our founding team is world renowned for previously inventing the MPIC standard adopted by all the major CAs including Google, Apple, Amazon. The MPIC standard is securing over 700 million websites via the issuance of over 3 billion digital certificates, and is now a global internet standard that protects every single HTTPS connection.</t>
  </si>
  <si>
    <t xml:space="preserve">https://www.crosslayerlabs.com/</t>
  </si>
  <si>
    <t xml:space="preserve">https://www.ycombinator.com/companies/crosslayer-labs</t>
  </si>
  <si>
    <t xml:space="preserve">Cumulus Labs</t>
  </si>
  <si>
    <t xml:space="preserve">The Fastest Multimodal Inference OS</t>
  </si>
  <si>
    <t xml:space="preserve">Cumulus Labs lets engineering teams ship AI in production without needing a dedicated ML platform team. Right now, companies building AI products are forced to stitch together separate vendors for routing, observability, evaluation, fine-tuning, and inference. This fragmented approach is brittle, expensive, and is a common reason enterprises fail with AI. We replace that entire stack with a single unified platform. Developers can keep their existing code while instantly upgrading to a unified platform that handles routing, semantic caching, continuous shadow evaluation, simulated data, and one-click fine-tuning. Behind the platform is Ion, our proprietary inference engine running on a custom NVIDIA Grace GPU fleet. Ion uses in-house custom GPU kernels to deliver 30 to 50 percent more throughput than standard vLLM or SGLang, giving our customers SOTA inference economics.</t>
  </si>
  <si>
    <t xml:space="preserve">https://cumuluslabs.io</t>
  </si>
  <si>
    <t xml:space="preserve">https://www.ycombinator.com/companies/cumulus-labs</t>
  </si>
  <si>
    <t xml:space="preserve">DAIVIN!</t>
  </si>
  <si>
    <t xml:space="preserve">Tankless Dive Gear - Breath Autonomy at Sea, Land &amp; Space</t>
  </si>
  <si>
    <t xml:space="preserve">DAIVIN! builds tankless dive gear that unlocks breath autonomy in extreme environments. Starting from underwater environment our mission is to remove the need for dangerous, heavy and bulky oxygen tanks in space, air and on land and replace them with water!</t>
  </si>
  <si>
    <t xml:space="preserve">https://www.daivin.tech/</t>
  </si>
  <si>
    <t xml:space="preserve">https://www.ycombinator.com/companies/daivin</t>
  </si>
  <si>
    <t xml:space="preserve">Didit</t>
  </si>
  <si>
    <t xml:space="preserve">Infrastructure for identity and fraud.</t>
  </si>
  <si>
    <t xml:space="preserve">One API for KYC, KYB, AML, biometrics, and fraud — powered by 1,000+ data sources, 200+ signals, and in-house AI models. Global coverage. Integrate in minutes, pay as you go, 500 free checks/month. Start free at business.didit.me.</t>
  </si>
  <si>
    <t xml:space="preserve">https://didit.me/</t>
  </si>
  <si>
    <t xml:space="preserve">https://www.ycombinator.com/companies/didit</t>
  </si>
  <si>
    <t xml:space="preserve">Ditto Biosciences</t>
  </si>
  <si>
    <t xml:space="preserve">Evolutionary intelligence for autoimmune disease</t>
  </si>
  <si>
    <t xml:space="preserve">Ditto Bio discovers drugs for autoimmune diseases by harnessing parasite biology. Viruses, ticks, and worms have experimented over millions of years to create proteins that control the human immune system. We use AI to identify these proteins and engineer them into next-generation autoimmune therapies. Our team is three PhD scientists from UCSF, UCSD, and UC Berkeley who have worked together for 3+ years in biotech. We have deep expertise in parasite biology, computational biology, and software for AI-based protein structure prediction</t>
  </si>
  <si>
    <t xml:space="preserve">https://www.dittobio.com/</t>
  </si>
  <si>
    <t xml:space="preserve">https://www.ycombinator.com/companies/ditto-biosciences</t>
  </si>
  <si>
    <t xml:space="preserve">Docura Health</t>
  </si>
  <si>
    <t xml:space="preserve">AI-Native Med-Legal Firm</t>
  </si>
  <si>
    <t xml:space="preserve">Docura Health reduces settlement time in workers’ compensation cases by automating medical record review, chronologies, and report drafting with AI. We transform thousands of pages of records into structured, compliant summaries, helping evaluators, claim adjusters, insurers, and legal teams resolve cases faster.</t>
  </si>
  <si>
    <t xml:space="preserve">https://docurahealth.com</t>
  </si>
  <si>
    <t xml:space="preserve">https://www.ycombinator.com/companies/docura-health</t>
  </si>
  <si>
    <t xml:space="preserve">Doomscroll to learn languages</t>
  </si>
  <si>
    <t xml:space="preserve">Doomersion (formerly Doomlingo) lets you learn languages by doomsrolling! Watch TikToks in your target language that are exactly matched to your level, and as you scroll, they get a little bit harder. Gen-Z doomscrolls 2.5-3 hours a day, and if we bake immersion into that by only showing them viral videos in another language that are matched to their level, we can make the optimal language learning method addictive for people. Hence the name, doomersion. The app gained ~15k downloads in the first two weeks, and power users spend ~3+ hours daily on the app. Feel free to download and try it yourself!</t>
  </si>
  <si>
    <t xml:space="preserve">EigenPal</t>
  </si>
  <si>
    <t xml:space="preserve">AI Document Workflows for Enterprises</t>
  </si>
  <si>
    <t xml:space="preserve">EigenPal.com automates your document processing workflows with AI. KYC docs, invoices, claims, shipping forms, contracts, receipts, loan docs - we automate that. Works on messy scans, handwritten forms, third-party docs. Powerful workflow builder and team functionality. On-prem ready or use our cloud.</t>
  </si>
  <si>
    <t xml:space="preserve">https://www.eigenpal.com/</t>
  </si>
  <si>
    <t xml:space="preserve">https://www.ycombinator.com/companies/eigenpal</t>
  </si>
  <si>
    <t xml:space="preserve">Emdash</t>
  </si>
  <si>
    <t xml:space="preserve">Open-source Agentic Development Environment</t>
  </si>
  <si>
    <t xml:space="preserve">Agent-first development environment. Emdash enables engineering teams to develop software faster, by running multiple coding agents in parallel. We're an open-source and provider-agnostic desktop application.</t>
  </si>
  <si>
    <t xml:space="preserve">https://emdash.com</t>
  </si>
  <si>
    <t xml:space="preserve">https://www.ycombinator.com/companies/emdash</t>
  </si>
  <si>
    <t xml:space="preserve">AI powered reconciliation for high-volume payments companies</t>
  </si>
  <si>
    <t xml:space="preserve">End Close builds automatic reconciliation for payments companies like fintechs, marketplaces, banks and payroll companies. Reconciliation helps companies track every dollar and resolve every exception, ensuring they have no money loss, can report audit ready financials, and stay compliant. Sean (CEO) spent the last 6 years building the reconciliation org at Modern Treasury (S18), processing a trillion dollars in payments across 40 banks with 99.995% automation. Fast growing companies like Modern Treasury are forced to build a solution in-house or buy a legacy solution. End Close provides a modern reconciliation system that works with a company's existing stack and is managed by AI agents. Exception handling is where 99% of the manual work happens today, payment ops teams spend hours gathering context across various data sources to investigate each ticket. End Close provides an AI ops agent that connects to a company's data warehouse, invoicing platform and payment processors to triage and resolve issues without human intervention. Legacy providers only provide reconciliation for month end close applications. End Close continuously reconciles with developer friendly APIs, allowing teams to integrate real time payments data within their products to create product experiences for customers like faster balance top-ups, instant trading etc. New payment rails and agent-to-agent payments are increasing online transaction volumes, making reconciliation a growing challenge for companies. David (CTO and 2nd time YC founder) most recently built these kinds of high-scale ingestion pipelines when starting and leading error tracking at PostHog (W20), the fastest growing product in the company's history.</t>
  </si>
  <si>
    <t xml:space="preserve">Envariant</t>
  </si>
  <si>
    <t xml:space="preserve">Interpretability and reasoning infra for foundation models.</t>
  </si>
  <si>
    <t xml:space="preserve">Envariant is an AI interpretability and reasoning SDK enabling foundation model builders to analyze, steer, and control their model's behaviors.</t>
  </si>
  <si>
    <t xml:space="preserve">https://envariant.ai/</t>
  </si>
  <si>
    <t xml:space="preserve">https://www.ycombinator.com/companies/envariant</t>
  </si>
  <si>
    <t xml:space="preserve">Eos AI</t>
  </si>
  <si>
    <t xml:space="preserve">Autonomous OS for healthcare</t>
  </si>
  <si>
    <t xml:space="preserve">Eos helps clinics turn their data into actionable insights to identify more eligible patients and early care interventions. We harmonize historical data across all systems to create standardized patient data distributions, acting like a translation layer between different applications. Then we build a centralized index over it: a compressed representation that lets petabytes of raw data stay where it is while allowing us to search and reason across it as one system. Instead of treating the visit or document as an isolated instance, we can look at it as a continuous story. We can predict how a case will resolve, trigger the required approvals and actions, and do so while reducing staff workload and recovering hospital revenue.</t>
  </si>
  <si>
    <t xml:space="preserve">https://www.helloeos.ai/</t>
  </si>
  <si>
    <t xml:space="preserve">https://www.ycombinator.com/companies/eos-ai</t>
  </si>
  <si>
    <t xml:space="preserve">Fed10</t>
  </si>
  <si>
    <t xml:space="preserve">AI Agents for Government Affairs</t>
  </si>
  <si>
    <t xml:space="preserve">Fed10 is a legislative consulting firm staffed by AI agents. We monitor every bill across the U.S., flag threats to your business, and deliver actionable insights — the same work a $500/hr policy consultant does, but in seconds instead of days. Built by three ex-lobbyists who passed legislation together.</t>
  </si>
  <si>
    <t xml:space="preserve">https://www.fed10.ai</t>
  </si>
  <si>
    <t xml:space="preserve">https://www.ycombinator.com/companies/fed10</t>
  </si>
  <si>
    <t xml:space="preserve">Fenrock AI</t>
  </si>
  <si>
    <t xml:space="preserve">AI agents for banks</t>
  </si>
  <si>
    <t xml:space="preserve">We're building the Legora for traditional financial services, working closely with US bank CEOs to transform their businesses.</t>
  </si>
  <si>
    <t xml:space="preserve">Fintech -&gt; Banking and Exchange</t>
  </si>
  <si>
    <t xml:space="preserve">https://fenrock.ai/</t>
  </si>
  <si>
    <t xml:space="preserve">https://www.ycombinator.com/companies/fenrock-ai</t>
  </si>
  <si>
    <t xml:space="preserve">RL environments for robotics companies</t>
  </si>
  <si>
    <t xml:space="preserve">Fern provides RL environments for robotics companies powered by a foundational world model. Companies can plug and play their robot policies completely in software with varying starting scenes of their production environment, and we'll produce RL heads on top of your existing policies to improve speed and success rate. Our customers get a continual learning flywheel where their production robots improve every week.</t>
  </si>
  <si>
    <t xml:space="preserve">Fixture</t>
  </si>
  <si>
    <t xml:space="preserve">An agentic CRM built for Startups</t>
  </si>
  <si>
    <t xml:space="preserve">Fixture is an agentic CRM built for startups. It integrates with all the tools you use to communicate with customers, tracks marketing channels (e.g. website traffic), and pulls everything into a single go-to-market context store. Our AI agents proactively help you move your deals forward, and you can use Fixture from our web UI or any of your favorite AI tools (e.g. Claude Code).</t>
  </si>
  <si>
    <t xml:space="preserve">https://fixture.ai</t>
  </si>
  <si>
    <t xml:space="preserve">https://www.ycombinator.com/companies/fixture</t>
  </si>
  <si>
    <t xml:space="preserve">Foreman</t>
  </si>
  <si>
    <t xml:space="preserve">Keeping contractors on the job site, not behind a desk.</t>
  </si>
  <si>
    <t xml:space="preserve">Foreman is the all-in-one AI-powered project management platform built for construction contractors and the trade industry. Today, contractors run complex businesses on a patchwork of tools that were never designed for construction — estimates in spreadsheets, plans in email, proposals copy-pasted from old Word docs, photos scattered across phones. Nothing talks to anything else, and the admin work never stops. Foreman replaces that patchwork with a single platform that manages the full lifecycle of a construction job, from first estimate to final invoice. Contractors upload plans, photos, or a project description, and Foreman's AI instantly generates structured takeoffs, scoped estimates, and professional proposals — in minutes, not hours. From there, every customer record, document, permit, photo, change order, and conversation lives in one place, organized around the job. The result: contractors spend less time buried in admin and more time building. They bid faster, manage jobs with less chaos, and close projects cleanly — without duct-taping five tools together to do it.</t>
  </si>
  <si>
    <t xml:space="preserve">Real Estate and Construction</t>
  </si>
  <si>
    <t xml:space="preserve">https://foreman.co</t>
  </si>
  <si>
    <t xml:space="preserve">https://www.ycombinator.com/companies/foreman</t>
  </si>
  <si>
    <t xml:space="preserve">Fort</t>
  </si>
  <si>
    <t xml:space="preserve">Strength Tracking Wearable</t>
  </si>
  <si>
    <t xml:space="preserve">Fort is a wearable that tracks strength training for people who care about longevity. Other wearables make you manually log every rep, set, and exercise, then provide unhelpful feedback or underestimate strength-related fatigue. We use heart rate and motion data to track your strength workouts for you, then provide thoughtful, actionable feedback that helps you achieve your goals.</t>
  </si>
  <si>
    <t xml:space="preserve">https://fort.cx</t>
  </si>
  <si>
    <t xml:space="preserve">https://www.ycombinator.com/companies/fort</t>
  </si>
  <si>
    <t xml:space="preserve">Forum</t>
  </si>
  <si>
    <t xml:space="preserve">The first exchange to trade on attention.</t>
  </si>
  <si>
    <t xml:space="preserve">Forum is building the first exchange to trade on cultural attention. We create indices from search, social, and streaming data to measure what the world cares about, enabling users to go long or short on changes in relevance. Attention is the primary driver of business success in the digital age, but it has never been directly tradable. Forum introduces attention as a new asset class for managing cultural and demand risk.</t>
  </si>
  <si>
    <t xml:space="preserve">https://www.forum.market/</t>
  </si>
  <si>
    <t xml:space="preserve">https://www.ycombinator.com/companies/forum</t>
  </si>
  <si>
    <t xml:space="preserve">FullSeam</t>
  </si>
  <si>
    <t xml:space="preserve">AI agents for corporate accounting teams</t>
  </si>
  <si>
    <t xml:space="preserve">FullSeam builds agents for corporate accounting. Our agents replace manual accounting tasks that typically happen outside of our customers’ accounting software, like accounts payable, accounts receivable, and reconciliation.</t>
  </si>
  <si>
    <t xml:space="preserve">https://fullseam.com</t>
  </si>
  <si>
    <t xml:space="preserve">https://www.ycombinator.com/companies/fullseam</t>
  </si>
  <si>
    <t xml:space="preserve">Galactic Resource Utilization Space, Inc. (GRU Space)</t>
  </si>
  <si>
    <t xml:space="preserve">Moon Hotel -&gt; The Intergalactic Construction Company of Earth</t>
  </si>
  <si>
    <t xml:space="preserve">GRU Space is building permanent lunar infrastructure to make humanity interplanetary within our lifetime, starting with the first hotel on the Moon. In just 6 weeks, we built the world's first Moon factory: patent-pending hardware that turns lunar regolith into bricks and inflates modular pressurized habitats designed to withstand lunar temperature and pressure extremes. Our first mission lands on the Moon in 2027 to demonstrate in-situ brick manufacturing and habitat deployment. A second mission lays the hotel's foundation inside a lunar cave, and a third opens the first lunar hotel, targeted for 2032. We don’t stop at Moon hotels. GRU’s long-term plan: 1. Build the first hotel on the Moon. GRU solves off‑world surface habitation. 2. Become the Moon Base Company of America: build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 GRU Space is backed by investors in SpaceX and Anduril, is part of Nvidia's Inception program, and our launch generated 1B+ views across 60+ countries, earning invitations to the White House, Senate, and Pentagon.</t>
  </si>
  <si>
    <t xml:space="preserve">https://gru.space</t>
  </si>
  <si>
    <t xml:space="preserve">https://www.ycombinator.com/companies/galactic-resource-utilization-space-inc-gru-space</t>
  </si>
  <si>
    <t xml:space="preserve">General Astronautics</t>
  </si>
  <si>
    <t xml:space="preserve">Robotics for Space R&amp;D</t>
  </si>
  <si>
    <t xml:space="preserve">Robots for microgravity research and manufacturing.</t>
  </si>
  <si>
    <t xml:space="preserve">https://generalastro.com/</t>
  </si>
  <si>
    <t xml:space="preserve">https://www.ycombinator.com/companies/generalastro</t>
  </si>
  <si>
    <t xml:space="preserve">Elite AI law firm for high growth companies</t>
  </si>
  <si>
    <t xml:space="preserve">We're the elite AI law firm for high growth companies. Our firm provides exceptional, top-of-market legal work across commercial, corporate and employment law, at speeds and prices that put traditional law firms to shame.</t>
  </si>
  <si>
    <t xml:space="preserve">Grade</t>
  </si>
  <si>
    <t xml:space="preserve">API for performance-based payroll</t>
  </si>
  <si>
    <t xml:space="preserve">Grade is the API for performance-based payroll. Think of us like Deel or Gusto, but our payouts are for work completed, not hours. Companies use Grade to pay AI agents and contractors based on results: tasks completed, targets hit, work delivered. We handle compliance, tax reporting, and global payouts.</t>
  </si>
  <si>
    <t xml:space="preserve">https://usegrade.com</t>
  </si>
  <si>
    <t xml:space="preserve">https://www.ycombinator.com/companies/grade</t>
  </si>
  <si>
    <t xml:space="preserve">Haladir</t>
  </si>
  <si>
    <t xml:space="preserve">Operational Superintelligence for Global Logistics</t>
  </si>
  <si>
    <t xml:space="preserve">Haladir builds advanced AI systems for logistics. We sit on top of your WMS, TMS and ERP, turning their data into decisions across supply chain planning and execution: solver-grade optimization that decides what should happen, and AI agents that run the workflows. Today's AI brought intelligence. The next frontier is judgement.</t>
  </si>
  <si>
    <t xml:space="preserve">https://www.haladir.com/</t>
  </si>
  <si>
    <t xml:space="preserve">https://www.ycombinator.com/companies/haladir</t>
  </si>
  <si>
    <t xml:space="preserve">Hlabs</t>
  </si>
  <si>
    <t xml:space="preserve">US-Made Parts for Robots</t>
  </si>
  <si>
    <t xml:space="preserve">HLabs is making an industrial supply chain for building robots in the USA including electronics and actuators, with a focus on in-house manufacturing. Robotics is going to be one of the largest industries the world has ever seen. Teams have to buy what they can from overseas and then build everything else in house just to get something to move. HLabs is producing a plug and play set of robotic primitives to accelerate the early development and then working with larger scale production robots for bespoke designs. Early customers span across household robotics, humanoids, robot arms, quadrupeds, and defense. Hlabs is founded by Paul, a second time YC founder who also participated in the W21 batch with Mystic. He ran Mystic as CEO for 6 years.</t>
  </si>
  <si>
    <t xml:space="preserve">https://www.hlaboratories.com</t>
  </si>
  <si>
    <t xml:space="preserve">https://www.ycombinator.com/companies/hlabs</t>
  </si>
  <si>
    <t xml:space="preserve">Human Archive</t>
  </si>
  <si>
    <t xml:space="preserve">Physical AI data lab</t>
  </si>
  <si>
    <t xml:space="preserve">Human Archive (YC W26) is building the data and deployments infrastructure for physical AI. We design hardware, deploy cameras and sensors globally, and train models that help AI better understand how humans interact with the physical world. Leading frontier AI labs trust us for their video, sensor, robot deployment, image, and audio datasets. We have offices in SF, China, and India and are researchers from NYU GRAIL, UPenn GRASP, UC Berkeley, Stanford, Johns Hopkins Robotics, and national robotics champions. To get data, please reach out to raj@humanarchive.ai</t>
  </si>
  <si>
    <t xml:space="preserve">https://www.humanarchive.ai/</t>
  </si>
  <si>
    <t xml:space="preserve">https://www.ycombinator.com/companies/human-archive</t>
  </si>
  <si>
    <t xml:space="preserve">AI SRE agent that triages, coordinates, and fixes production incidents</t>
  </si>
  <si>
    <t xml:space="preserve">AI SRE agents that automatically learn each customer’s system so they work just like an in-house engineer.</t>
  </si>
  <si>
    <t xml:space="preserve">Instinct</t>
  </si>
  <si>
    <t xml:space="preserve">Trade with superhuman instinct</t>
  </si>
  <si>
    <t xml:space="preserve">Capital allocation is becoming a more important part of individual economic life. Finance is moving toward a global, onchain, 24/7 future with thousands of markets trading at once. The asset management industry is built around the scarcity of financial expertise and the cost of organizing people around capital. Institutions cover global markets by employing analysts, researchers, and quants around the clock. AI turns this organizational capacity into software. Instinct is building the harness for this transition. Instinct is a proactive team of agents that searches thousands of markets, investigates opportunities, and operates 24/7. The individual becomes the portfolio manager, Instinct becomes the investment firm operating around them. As institutional advantages become widely accessible, the edge concentrates in each trader’s worldview, judgment, and bets. The first one-person investment firm managing $1 billion will emerge within two years. It will run on Instinct.</t>
  </si>
  <si>
    <t xml:space="preserve">https://instinct.xyz</t>
  </si>
  <si>
    <t xml:space="preserve">https://www.ycombinator.com/companies/instinct-xyz</t>
  </si>
  <si>
    <t xml:space="preserve">InventoryQuant</t>
  </si>
  <si>
    <t xml:space="preserve">We automate the inventory process in insurance</t>
  </si>
  <si>
    <t xml:space="preserve">We automate inventory and contents processing for insurance and insurance-adjacent industries, including public adjusters, restoration contents, and insurance companies. We also handle various inventory and estimate adjacent processes that cost many billions of dollars a year and thousands of years of man hours.</t>
  </si>
  <si>
    <t xml:space="preserve">https://www.inventoryquant.com</t>
  </si>
  <si>
    <t xml:space="preserve">https://www.ycombinator.com/companies/inventoryquant</t>
  </si>
  <si>
    <t xml:space="preserve">Inviscid AI</t>
  </si>
  <si>
    <t xml:space="preserve">Real-time Physics Simulations for Industrial Facilities &amp; Data Centers</t>
  </si>
  <si>
    <t xml:space="preserve">Inviscid AI builds physics-informed AI solutions that transform how buildings and data centers operate. By combining real-time IoT sensor data with computational fluid dynamics (CFD) modeling, we create digital twins that simulate building performance in real time and autonomously optimize operations. Our platform optimizes airflow patterns and ventilation strategies to eliminate dead zones, improve air distribution, and reduce the load on mechanical systems. On the energy side, we minimize HVAC power consumption, reduce cooling costs, and lower overall operational expenses while maintaining optimal thermal comfort and indoor air quality. Beyond immediate operational efficiency, we optimize equipment scheduling and maintenance cycles by predicting system behavior under different conditions, allowing facilities managers to proactively address issues before they become problems. Our physics first approach ensures that we're not just optimizing against historical patterns, but optimizing based on a deep understanding of how air, heat, and energy actually move through your building, enabling us to find solutions that traditional rule-based or purely data-driven systems would miss.</t>
  </si>
  <si>
    <t xml:space="preserve">Singapore, Singapore; Remote</t>
  </si>
  <si>
    <t xml:space="preserve">https://inviscidai.com/</t>
  </si>
  <si>
    <t xml:space="preserve">https://www.ycombinator.com/companies/inviscid-ai</t>
  </si>
  <si>
    <t xml:space="preserve">Janeen</t>
  </si>
  <si>
    <t xml:space="preserve">Prior auths and benefits investigation for infusion clinics</t>
  </si>
  <si>
    <t xml:space="preserve">Janeen is built for infusion clinics. We handle prior authorizations and benefit investigations from start to finish (actually though!). Biologics are expensive medications that cost $80-$150K+ per year per patient, and often need to be administered in specific settings called infusion clinics. Medical providers buy these drugs up front to secure pricing deals and safer inventory - they are reimbursed for the cost of the medications through the patients’ insurance. Current medical workflows aren't built for infusion clinics. Inventory, storage, transport, and billing is still managed through paper and excel spreadsheets. And because they’re so expensive, these specialty medications are denied by insurers at a rate of 37% each year. When they are denied, when workflows fail, or patients are infused before paperwork is cleared, providers don’t get reimbursed for the medication and are left covering the costs. Ruma Care solves this so clinics get paid, patients get treated faster, and care teams spend less time fighting forms. We work with clinics across the country and have removed 95% of all manual labor in the process.</t>
  </si>
  <si>
    <t xml:space="preserve">https://janeen.care</t>
  </si>
  <si>
    <t xml:space="preserve">https://www.ycombinator.com/companies/janeen</t>
  </si>
  <si>
    <t xml:space="preserve">Jinba</t>
  </si>
  <si>
    <t xml:space="preserve">Automate enterprise workflows through chat</t>
  </si>
  <si>
    <t xml:space="preserve">Jinba lets enterprise teams vibe-code AI workflows instead of drag and drop. Describe what you need in plain language, and your whole company can start using it immediately. No engineers required. Enterprise-grade permissions, audit logging, and on-prem deployment built in. We serve 40,000 enterprise users at major financial institutions. Build something your colleagues want.</t>
  </si>
  <si>
    <t xml:space="preserve">https://jinba.io</t>
  </si>
  <si>
    <t xml:space="preserve">https://www.ycombinator.com/companies/jinba</t>
  </si>
  <si>
    <t xml:space="preserve">Khotan (formerly Pollinate)</t>
  </si>
  <si>
    <t xml:space="preserve">FDE as a platform for rebuilding critical operations in software.</t>
  </si>
  <si>
    <t xml:space="preserve">Khotan is the platform for forward-deployed engineers to rebuild operations as software and maintain them. It combines your context with the infrastructure harnesses need to deploy, share, and maintain each application. Across procurement, supply chain, finance, and operations, we’ve rebuilt the systems businesses cannot afford to get wrong. Learn more at khotan.com</t>
  </si>
  <si>
    <t xml:space="preserve">https://www.khotan.com/</t>
  </si>
  <si>
    <t xml:space="preserve">https://www.ycombinator.com/companies/khotan</t>
  </si>
  <si>
    <t xml:space="preserve">Underwrite borrowers around the world in minutes</t>
  </si>
  <si>
    <t xml:space="preserve">In emerging markets, open finance is still nascent. Most of the population is traditionally unbanked, banking APIs don’t exist, and a borrower’s financial history lives in documents: e-wallet records, bank statements, utility bills, and more. Because this data is unstructured, credit and risk teams are forced into manual review. This slows decisioning, increases costs, and caps lending volume. Kita is the AI platform for global lending operations. We help lenders in emerging markets automate application completion, document verification, and underwriting from messy financial documents — using AI to extract fraud-checked data and localized risk signals that power faster, better credit decisions. Under the hood, Kita is a learning engine. We link document-level signals to repayment outcomes, allowing our models to continuously improve fraud detection and risk assessment over time. This creates a compounding advantage for lenders as their distinct underwriting decisions feed back into the system. We’re Carmel and Rhea. We met before Stanford and have been building together ever since. Carmel is from Manila, is a repeat founder, and spent three years in product at Apple. Rhea has a research background in computer vision and received the highest honor in Stanford Computer Science. Together, we combine deep local context with strong technical execution to build the infrastructure that expands access to credit in emerging markets.</t>
  </si>
  <si>
    <t xml:space="preserve">Klaus AI</t>
  </si>
  <si>
    <t xml:space="preserve">Fast and Safe OpenClaw on the cloud</t>
  </si>
  <si>
    <t xml:space="preserve">Get your personal OpenClaw instance on the cloud and connected to your Slack or other messaging app in 3 minutes. Pre-installed security features and common skills.</t>
  </si>
  <si>
    <t xml:space="preserve">https://klausai.com</t>
  </si>
  <si>
    <t xml:space="preserve">https://www.ycombinator.com/companies/klaus-ai</t>
  </si>
  <si>
    <t xml:space="preserve">Kyten Technologies</t>
  </si>
  <si>
    <t xml:space="preserve">Custom Aerospace-Grade Battery Packs</t>
  </si>
  <si>
    <t xml:space="preserve">Kyten Technologies is building a factory to manufacture custom aerospace-grade battery packs. 100,000+ drones, submarines, and satellites are being built in the US, but the legacy supply chain can't keep up. During our six years at Starlink, we put 5,000+ battery packs into space. Now, we're bringing rapid development and volume production of aerospace-grade battery packs to the entire industry.</t>
  </si>
  <si>
    <t xml:space="preserve">https://kytentech.com</t>
  </si>
  <si>
    <t xml:space="preserve">https://www.ycombinator.com/companies/kyten-technologies</t>
  </si>
  <si>
    <t xml:space="preserve">Lance</t>
  </si>
  <si>
    <t xml:space="preserve">AI Agents That Run Hotel Operations.</t>
  </si>
  <si>
    <t xml:space="preserve">Autonomous AI agents that answer calls, close sales, and run operations, so your team can focus on guests. Trusted by some of the top hotel groups in the US, supporting 50+ hotels across brands like Marriott, Hilton, and Hyatt Built on advanced Computer Use Agent technology, Lance agents can navigate your existing hotel software, make real-time decisions, and handle complex multi-step tasks.</t>
  </si>
  <si>
    <t xml:space="preserve">https://www.lance.live</t>
  </si>
  <si>
    <t xml:space="preserve">https://www.ycombinator.com/companies/lance</t>
  </si>
  <si>
    <t xml:space="preserve">Laurence</t>
  </si>
  <si>
    <t xml:space="preserve">Quantitative research for autonomous e-commerce growth</t>
  </si>
  <si>
    <t xml:space="preserve">Advertising today is like trading in the 1980s pits: archaic, manual, and iterative guesswork. Humans update bids and keywords with noisy, delayed data using simple if-else rules that both break at scale and ignore stochasticity. Laurence advertises like modern hedge funds trade markets, driving a 15-40% improvement in net profit for Amazon brands within a month of onboarding.</t>
  </si>
  <si>
    <t xml:space="preserve">https://laurence.com</t>
  </si>
  <si>
    <t xml:space="preserve">https://www.ycombinator.com/companies/laurence</t>
  </si>
  <si>
    <t xml:space="preserve">The AI-Native Immigration Law Firm</t>
  </si>
  <si>
    <t xml:space="preserve">LegalOS is an AI-native immigration law firm that combines cutting-edge technology with 40+ years of legal expertise. We’ve studied 12,000 successful petitions to design our process - which allows us to deliver top-quality visa applications in as quickly as 48 hours. Our specialized AI agents draft petition narratives, compile evidence, and anticipate USCIS objections - work that traditionally takes attorneys weeks, if not months. Every case is reviewed and signed by licensed immigration attorneys with 40+ years of experience, so companies get both speed and reliability. We support O-1, H-1B, L-1A, L-1B, TN, EB-1A, EB-1C, and EB-2 NIW petitions. Our unique approach works. We’ve filed dozens of visa applications and have a 100% approval rate so far. The U.S. processes 1M+ work visas annually—a market where incumbents still operate on fax machines, email, and 1990s case management software. We're building the modern immigration law firm.</t>
  </si>
  <si>
    <t xml:space="preserve">Lexius</t>
  </si>
  <si>
    <t xml:space="preserve">AI for Corporate Security Cameras</t>
  </si>
  <si>
    <t xml:space="preserve">Lexius turns existing security cameras into an AI security guard that detects, documents, and alerts incidents like shoplifting and slip-and-falls. Millions of locations already have cameras but no intelligence. Replacing them costs $50K to $100K per site. Lexius upgrades every camera instantly, no rip and replace, no new hardware. Real-world camera systems are messy, fragmented, and decades old, and AI breaks on low-quality CCTV. The hard part isn’t the model, it’s making unreliable systems work at scale with accuracy high enough for real decisions. Lexius starts with security and liability, and becomes the operating system for physical spaces.</t>
  </si>
  <si>
    <t xml:space="preserve">https://www.lexius.ai</t>
  </si>
  <si>
    <t xml:space="preserve">https://www.ycombinator.com/companies/lexius</t>
  </si>
  <si>
    <t xml:space="preserve">Lucent</t>
  </si>
  <si>
    <t xml:space="preserve">AI that automatically improves products from user behavior</t>
  </si>
  <si>
    <t xml:space="preserve">Lucent is an AI product manager that automatically improves products based on how users behave. We use AI to watch and understand user sessions and detect bugs and UX issues.</t>
  </si>
  <si>
    <t xml:space="preserve">https://lucenthq.com</t>
  </si>
  <si>
    <t xml:space="preserve">https://www.ycombinator.com/companies/lucent</t>
  </si>
  <si>
    <t xml:space="preserve">Luel</t>
  </si>
  <si>
    <t xml:space="preserve">Turning everyday words and actions into usable training data.</t>
  </si>
  <si>
    <t xml:space="preserve">Luel is a sourcing and licensing platform for rights-cleared multimodal training data at scale. We work with frontier AI teams to provide high-quality bespoke data collections and off-the-shelf datasets.</t>
  </si>
  <si>
    <t xml:space="preserve">https://luel.ai</t>
  </si>
  <si>
    <t xml:space="preserve">https://www.ycombinator.com/companies/luel</t>
  </si>
  <si>
    <t xml:space="preserve">Mango Medical</t>
  </si>
  <si>
    <t xml:space="preserve">Foundation models for planning orthopedic surgery</t>
  </si>
  <si>
    <t xml:space="preserve">Mango Medical builds agentic surgical planning AI for orthopedic surgery. We deliver surgeon-ready plans in minutes instead of days. 8-figure LOI from a top orthopedic company. Pursuing FDA 510(k) clearance. We're building a future where every surgery follows a personalized plan.</t>
  </si>
  <si>
    <t xml:space="preserve">https://mangomedical.io</t>
  </si>
  <si>
    <t xml:space="preserve">https://www.ycombinator.com/companies/mango-medical-inc</t>
  </si>
  <si>
    <t xml:space="preserve">Mantis</t>
  </si>
  <si>
    <t xml:space="preserve">Digital Twins of humans</t>
  </si>
  <si>
    <t xml:space="preserve">Mantis is a digital twin company that combines LLMs with high-fidelity physics simulations in order to convert rare and difficult-to-access human behavior data into predictive models.</t>
  </si>
  <si>
    <t xml:space="preserve">https://mantisbiotech.com/</t>
  </si>
  <si>
    <t xml:space="preserve">https://www.ycombinator.com/companies/mantis</t>
  </si>
  <si>
    <t xml:space="preserve">Martini</t>
  </si>
  <si>
    <t xml:space="preserve">AI Video Production for Professionals</t>
  </si>
  <si>
    <t xml:space="preserve">Martini is a collaborative, AI-native platform for professional filmmaking in the era of generative media. By integrating the best generative models into professional workflows, we enable world-class creatives to harness generative AI as a legitimate medium for film.</t>
  </si>
  <si>
    <t xml:space="preserve">https://martini.film</t>
  </si>
  <si>
    <t xml:space="preserve">https://www.ycombinator.com/companies/martini</t>
  </si>
  <si>
    <t xml:space="preserve">Maven</t>
  </si>
  <si>
    <t xml:space="preserve">Payments for Conversational Agents</t>
  </si>
  <si>
    <t xml:space="preserve">We enable AI chat and voice agents to collect payments through a single API call, handling card processing and PCI compliance across all payment gateways</t>
  </si>
  <si>
    <t xml:space="preserve">https://trymaven.com</t>
  </si>
  <si>
    <t xml:space="preserve">https://www.ycombinator.com/companies/maven</t>
  </si>
  <si>
    <t xml:space="preserve">Maywood</t>
  </si>
  <si>
    <t xml:space="preserve">The first finance-compliant proactive AI that runs 24/7</t>
  </si>
  <si>
    <t xml:space="preserve">Maywood is the first finance-compliant proactive AI that runs 24/7, working across your network, pipeline, and active processes, running constantly in the background and surfacing things you'd otherwise miss. It tracks relationships and sector context to flag when a target is gearing up for a process (and drafts the outreach in your voice), watches network activity across LinkedIn, news, and conference follow-ups, and surfaces where active processes stand, including what's at risk since you last looked. It also auto-updates CRMs and trackers and creates meeting briefs that includes relationship history, recent activity, deal context, external research, talking points that can pull from internal and external data sources. Dealmakers interact with it over email, Teams, or the platform itself.</t>
  </si>
  <si>
    <t xml:space="preserve">https://maywoodai.com/</t>
  </si>
  <si>
    <t xml:space="preserve">https://www.ycombinator.com/companies/maywood</t>
  </si>
  <si>
    <t xml:space="preserve">Mendral</t>
  </si>
  <si>
    <t xml:space="preserve">AI DevOps Engineer</t>
  </si>
  <si>
    <t xml:space="preserve">Mendral is an AI DevOps Engineer that observes, diagnoses, acts, and learns continuously. It autonomously handles CI failures, flaky tests, slow builds, broken releases, and code reviews, improving with every build and run. Over time, Mendral evolves into a self-improving delivery system that manages performance, quality, security, and compliance, all without manual intervention.</t>
  </si>
  <si>
    <t xml:space="preserve">https://mendral.com/</t>
  </si>
  <si>
    <t xml:space="preserve">https://www.ycombinator.com/companies/mendral</t>
  </si>
  <si>
    <t xml:space="preserve">Menza</t>
  </si>
  <si>
    <t xml:space="preserve">The AI data analyst for consumer brands</t>
  </si>
  <si>
    <t xml:space="preserve">Menza is the AI data analyst for consumer brands. A brand like Hershey’s would connect all of their data sources and then we give them an AI analyst that works 24/7 looking for revenue opportunities, cost leaks, trends and anomalies.</t>
  </si>
  <si>
    <t xml:space="preserve">https://menza.ai/</t>
  </si>
  <si>
    <t xml:space="preserve">https://www.ycombinator.com/companies/menza</t>
  </si>
  <si>
    <t xml:space="preserve">Technology to detect and track small drones</t>
  </si>
  <si>
    <t xml:space="preserve">We make radars that can see small drones. As drones evolve faster than air defenses, detection has fallen behind. Even $50 drones now present a major threat to airports, critical infrastructure, and front-line defense. We solve this by building high-frequency radar systems, designed from the ground up to detect even the most challenging low-signature targets. This allows us to identify and track nano drones like no other solution, letting you know what's truly in your airspace.</t>
  </si>
  <si>
    <t xml:space="preserve">Industrials -&gt; Drones</t>
  </si>
  <si>
    <t xml:space="preserve">Mirabelle</t>
  </si>
  <si>
    <t xml:space="preserve">Your own chef at home</t>
  </si>
  <si>
    <t xml:space="preserve">We build the personal robot chef. Mirabelle chops, cooks, and serves fresh meals on demand, so you can eat well every day without spending hours in the kitchen.</t>
  </si>
  <si>
    <t xml:space="preserve">https://meetmirabelle.com</t>
  </si>
  <si>
    <t xml:space="preserve">https://www.ycombinator.com/companies/mirabelle</t>
  </si>
  <si>
    <t xml:space="preserve">MochaCare</t>
  </si>
  <si>
    <t xml:space="preserve">Agentic Management Service for Care Organizations</t>
  </si>
  <si>
    <t xml:space="preserve">MochaCare is an agentic management service for care organizations. We handle hiring, scheduling, and client intake end-to-end so our partners can focus on growth.</t>
  </si>
  <si>
    <t xml:space="preserve">https://www.mochacare.com/</t>
  </si>
  <si>
    <t xml:space="preserve">https://www.ycombinator.com/companies/mochacare</t>
  </si>
  <si>
    <t xml:space="preserve">Moda</t>
  </si>
  <si>
    <t xml:space="preserve">Your agents should never make the same mistake twice.</t>
  </si>
  <si>
    <t xml:space="preserve">Your agents should never make the same mistake twice. Moda helps you engineer better agents from production data. Find recurring failures, understand what caused them, and build evals from real agent runs. Compare models on the tasks your users actually need. Test changes to your prompts, tools, and workflows against past production traffic before you ship. Know what broke, what to change, and whether the fix worked.</t>
  </si>
  <si>
    <t xml:space="preserve">https://moda.dev</t>
  </si>
  <si>
    <t xml:space="preserve">https://www.ycombinator.com/companies/moda</t>
  </si>
  <si>
    <t xml:space="preserve">Moritz</t>
  </si>
  <si>
    <t xml:space="preserve">Global AI-native law firm handling legal work with same-day turnaround</t>
  </si>
  <si>
    <t xml:space="preserve">Moritz is a global AI-native law firm that will handles legal work with same day turnaround. Our lawyers have closed $ 3bn in deals with an average turnaround of 4-hours. No other law firm offers this kind of speed for complex deals. We're backed by YC, 20VC and the founders of Dropbox, Gusto, Instacart, Reddit, Superhuman, Producthunt, HuggingFace and 15 other unicorn founders.</t>
  </si>
  <si>
    <t xml:space="preserve">http://moritzlegal.com/</t>
  </si>
  <si>
    <t xml:space="preserve">https://www.ycombinator.com/companies/moritz</t>
  </si>
  <si>
    <t xml:space="preserve">MouseCat</t>
  </si>
  <si>
    <t xml:space="preserve">AI to fight financial crime</t>
  </si>
  <si>
    <t xml:space="preserve">MouseCat enables companies to detect suspicious activity, automate investigations, and act before the money leaves. We work with Fortune 500 companies and startups to deploy real-time models and AI agents that reduce fraud, compliance incidents, and friction for good customers.</t>
  </si>
  <si>
    <t xml:space="preserve">https://www.mousecat.ai</t>
  </si>
  <si>
    <t xml:space="preserve">https://www.ycombinator.com/companies/mousecat</t>
  </si>
  <si>
    <t xml:space="preserve">Ndea</t>
  </si>
  <si>
    <t xml:space="preserve">Building AGI that can innovate.</t>
  </si>
  <si>
    <t xml:space="preserve">Ndea is building frontier AI systems that blend intuitive pattern recognition and formal reasoning into a unified architecture. # AI for Scientific Advancement Unlike all life before us, humanity's ascent is a story of ingenuity, not just biological evolution. Our progress has been driven by the curiosity to acquire knowledge, the ability to pass it on, and an intrinsic drive to innovate. We build technology which gives us leverage beyond our biology. We stand at the top of a knowledge and technology colossus that we collectively created over the past ten thousand generations. Scientific progress has helped us overcome burdens that long defined human life — famines, plagues, and widespread illiteracy. Science will continue to redefine the boundaries of the human condition. Today, the acceleration of scientific progress hinges on one factor: AI capable of independent invention and discovery. This capacity is the gateway to advancements beyond our wildest imagination. # A New Research Lab We're starting Ndea — an AI research and science lab. The name - like 'idea' with an 'n' - is inspired by the Greek concepts ennoia (intuitive understanding) and dianoia (logical reasoning), capturing our first goal to merge deep learning with program synthesis. Ndea is entirely focused on developing and operationalizing AGI to realize unprecedented scientific progress in our lifetime for the benefit of all current and future generations. Building AGI alone is a monumental undertaking, but our mission is even bigger. We're creating a factory for rapid scientific advancement — a factory capable of inventing and commercializing N ideas. From our vantage point today, we see many 'known' frontiers like self-driving vehicles, drug discovery, sustainable energy, robotics, and space exploration. While AGI will benefit all of these, the most exciting adventure lies in the 'unknown'. AGI promises discoveries and progress we cannot imagine today.</t>
  </si>
  <si>
    <t xml:space="preserve">Remote</t>
  </si>
  <si>
    <t xml:space="preserve">https://ndea.com</t>
  </si>
  <si>
    <t xml:space="preserve">https://www.ycombinator.com/companies/ndea-com</t>
  </si>
  <si>
    <t xml:space="preserve">o11</t>
  </si>
  <si>
    <t xml:space="preserve">AI account managers for consumer/self-serve apps</t>
  </si>
  <si>
    <t xml:space="preserve">o11 is the AI account manager for consumer and self-serve applications, helping teams treat every customer like a flagship client. It brings email and iMessage conversations together, suggests personal replies, and turns customer signals into timely follow-ups. Teams can tailor each persona’s voice and review response plans before turning them on.</t>
  </si>
  <si>
    <t xml:space="preserve">https://o11.ai</t>
  </si>
  <si>
    <t xml:space="preserve">https://www.ycombinator.com/companies/o11</t>
  </si>
  <si>
    <t xml:space="preserve">OctaPulse</t>
  </si>
  <si>
    <t xml:space="preserve">CV and robotics to automate quality inspection in fish farms</t>
  </si>
  <si>
    <t xml:space="preserve">OctaPulse uses AI vision to automate hatchery QA for fish farms, starting with broodstock phenotyping and juvenile deformity inspection. We cut inspection time from about 5 minutes to under 30 seconds per fish, with more than 90 percent accuracy, so farms advance only high quality fish and waste less feed and labor. Our goal is to bring automation across the entire fish production lifecycle for the $300B aquaculture industry. Aquaculture is the fastest growing food sector, and has already surpassed commercial fishing for production of seafood. Yet two of the most critical QA and QC steps in fish production are still done by hand: phenotyping and deformity inspection. These processes are slow, error prone, and despised by technicians but vital for the success of the farm, so much so that farms spend &gt;$200K a year on trained technicians and geneticists to operate. We’ve built an AI vision platform for vertically integrated finfish farms that drops into existing workflows starting in the hatchery, uses off the shelf cameras, standardizes these QA steps, and creates a proprietary multi species dataset that becomes the brain for future autonomous aquafarms. Phenotyping is the start, but the platform is designed to be a drop in solution that can easily expand into feeding, health monitoring, and processing so we can solve production problems across the lifecycle. We signed a 6-figure paid pilot with the largest trout producer in the United States, are deploying into 2 more farms early 2026, and trained models above 90 percent accuracy while cutting inspection time from 5 minutes to under 30 seconds. Each deployment adds labeled images to our dataset and improves cross species generalization.</t>
  </si>
  <si>
    <t xml:space="preserve">Industrials -&gt; Climate</t>
  </si>
  <si>
    <t xml:space="preserve">https://www.tryoctapulse.com/</t>
  </si>
  <si>
    <t xml:space="preserve">https://www.ycombinator.com/companies/octapulse</t>
  </si>
  <si>
    <t xml:space="preserve">One Robot</t>
  </si>
  <si>
    <t xml:space="preserve">World models for robot evals and training.</t>
  </si>
  <si>
    <t xml:space="preserve">One Robot builds simulation environments that are realistic to see and realistic to interact with, so robotics teams can train and evaluate robot policies without being bottlenecked by robot time. Today, improving a VLA often means more real-world hours: setting up the scene, running trials, resetting, and repeating. This loop is slow, expensive, and hard to scale. For example, material handling and manufacturing assembly tasks, models need far more training and evaluation data than teams can collect in the real world. We use task-specific data to build world model-based simulation environments for hard manipulation tasks (for example, textiles and box folding). These environments help teams run more training and evals, find failure modes faster, and accelerate iteration on action policies with less dependence on real-world data collection and robot availability.</t>
  </si>
  <si>
    <t xml:space="preserve">https://www.onerobot.io/</t>
  </si>
  <si>
    <t xml:space="preserve">https://www.ycombinator.com/companies/one-robot</t>
  </si>
  <si>
    <t xml:space="preserve">Opalite Health</t>
  </si>
  <si>
    <t xml:space="preserve">Helping Healthcare Providers Speak Any Language</t>
  </si>
  <si>
    <t xml:space="preserve">Opalite makes it easy for healthcare providers to communicate with non-English speaking patients. We’re built to work inside existing clinical workflows, so providers can communicate in real time without waiting for an interpreter or delaying care. Opalite is available instantly, 24/7, and replaces traditional interpretation services with software that’s more reliable and saves millions of dollars per year. We've built a voice AI system that is the safest, most compliant, and most accurate medical interpreter in the world.</t>
  </si>
  <si>
    <t xml:space="preserve">http://opalitehealth.com/</t>
  </si>
  <si>
    <t xml:space="preserve">https://www.ycombinator.com/companies/opalite-health</t>
  </si>
  <si>
    <t xml:space="preserve">OpenSpec</t>
  </si>
  <si>
    <t xml:space="preserve">Plan mode for complex features</t>
  </si>
  <si>
    <t xml:space="preserve">OpenSpec is an open-source, spec-driven framework. We help developers plan complex features by creating lightweight spec documents that serve as durable context for their coding agents. With 20k+ GitHub stars, we’re one of the leading spec-driven frameworks, used by thousands of developers and teams to plan and ship with the coding agent of their choice. Our philosophy is simple: keep planning lightweight and iterative, and match how software actually gets built, messy, evolving, and real, without dragging teams into rigid, bureaucratic workflows.</t>
  </si>
  <si>
    <t xml:space="preserve">http://openspec.dev</t>
  </si>
  <si>
    <t xml:space="preserve">https://www.ycombinator.com/companies/openspec</t>
  </si>
  <si>
    <t xml:space="preserve">Origami Robotics</t>
  </si>
  <si>
    <t xml:space="preserve">Manipulate Anything Robot</t>
  </si>
  <si>
    <t xml:space="preserve">We are building a "manipulate anything" model with the robot hardware that embodies it. We designed a hand-based data-collection device and a high DOF, direct drive robotic hand that match each other exactly, enabling us to eliminate embodiment gap and collect real-world data and deploy it directly. We want to scale real world manipulation data by deploying our devices "in the wild" like manufacturing factories, logistic centers to collect Tesla like data, use these data to train our model and then provide automation solutions to these industries.</t>
  </si>
  <si>
    <t xml:space="preserve">https://www.origami-robotics.com</t>
  </si>
  <si>
    <t xml:space="preserve">https://www.ycombinator.com/companies/origami-robotics</t>
  </si>
  <si>
    <t xml:space="preserve">Origin</t>
  </si>
  <si>
    <t xml:space="preserve">AI and Data for Cancer Therapeutics</t>
  </si>
  <si>
    <t xml:space="preserve">We produce patient-derived cancer datasets for licensing to pharmaceutical and AI companies. Our data comprises matched spatial transcriptomics, H&amp;E and clinical labels. We operate our own laboratory, where samples are processed. Samples are sourced from leading biobank / hospital networks. As R&amp;D workflows increasingly rely on frontier AI systems, we believe there is critical need for real world datapoints so that findings translate in the clinic.</t>
  </si>
  <si>
    <t xml:space="preserve">https://origin.bio/</t>
  </si>
  <si>
    <t xml:space="preserve">https://www.ycombinator.com/companies/origin-bio</t>
  </si>
  <si>
    <t xml:space="preserve">Orthogonal</t>
  </si>
  <si>
    <t xml:space="preserve">Agentic Payments for APIs</t>
  </si>
  <si>
    <t xml:space="preserve">APIs weren't built for agents. Orthogonal fixes that. We enable agentic payments so any agent can instantly discover, access, and pay for hundreds of APIs. No subscriptions, no sales calls, just pay per use. API providers list once and get paid every time an agent calls their API.</t>
  </si>
  <si>
    <t xml:space="preserve">https://orthogonal.com</t>
  </si>
  <si>
    <t xml:space="preserve">https://www.ycombinator.com/companies/orthogonal</t>
  </si>
  <si>
    <t xml:space="preserve">Ossus</t>
  </si>
  <si>
    <t xml:space="preserve">Intelligence for cultural institutions</t>
  </si>
  <si>
    <t xml:space="preserve">We build intelligence for cultural institutions. Our first commercial product is for the literature industry with a focus on school and public libraries. It is a AI-native OS for libraries, that helps librarians save time on tedious tasks and lets them focus on their patrons.</t>
  </si>
  <si>
    <t xml:space="preserve">https://www.ossus.com</t>
  </si>
  <si>
    <t xml:space="preserve">https://www.ycombinator.com/companies/ossus</t>
  </si>
  <si>
    <t xml:space="preserve">Overdrive Health</t>
  </si>
  <si>
    <t xml:space="preserve">AI-Native Medical Billing Services</t>
  </si>
  <si>
    <t xml:space="preserve">Overdrive Health offers AI powered medical billing services, helping providers get paid more money in less time. Our technology enables us to provide the best quality insurance and patient billing services for a fraction of the usual cost</t>
  </si>
  <si>
    <t xml:space="preserve">https://overdrive.health</t>
  </si>
  <si>
    <t xml:space="preserve">https://www.ycombinator.com/companies/overdrive-health</t>
  </si>
  <si>
    <t xml:space="preserve">Overshoot</t>
  </si>
  <si>
    <t xml:space="preserve">AI Infra for real-time vision applications</t>
  </si>
  <si>
    <t xml:space="preserve">Overshoot makes it easy for developers to build and run real-time vision applications. AI can see and understand the physical world. This unlocks new applications in physical security, safety, gaming, robotics and general consumer products. Soon, video agents will watch your home and your pet when you’re away. However, existing platforms make it painful for developers to build these real-time applications. Slow inference. Limited model availability. Break at scale. Overshoot solves this. Today, 300+ developers connect live video feeds to the largest collection of Vision Language Models with 3 lines of code. And get responses in less than 200ms. 10x faster than any existing inference platform. Zero infra headache. Our moat is focus. Image and Video are fundamentally different modalities from text. By focusing on them, we are able to make strong technical leaps from codec, streaming protocols to inference engines. Younes and Zakaria are cousins. Zakaria graduated top of his class at LSE and MIT, and later built low-latency high-throughput pricing systems (surge) at Uber and inference engines at Meta. He previously built and sold a software product and won several prominent AI hackathons. Younes was a founding engineer at Cosmonio (later acquired by Intel). He built a training and serving Computer Vision platform from scratch. He witnessed firsthand customers abandoning traditional Computer Vision because it lacked the “general” intelligence LLMs have today. Together we’ve shipped large-scale systems and know where they break.</t>
  </si>
  <si>
    <t xml:space="preserve">https://overshoot.ai</t>
  </si>
  <si>
    <t xml:space="preserve">https://www.ycombinator.com/companies/overshoot</t>
  </si>
  <si>
    <t xml:space="preserve">Oximy</t>
  </si>
  <si>
    <t xml:space="preserve">Take command of the AI your company already runs on.</t>
  </si>
  <si>
    <t xml:space="preserve">Oximy is one platform to see every AI tool and dollar across your company, run your team’s work in an app you own, and route every request to the right model.</t>
  </si>
  <si>
    <t xml:space="preserve">https://oximy.com</t>
  </si>
  <si>
    <t xml:space="preserve">https://www.ycombinator.com/companies/oximy</t>
  </si>
  <si>
    <t xml:space="preserve">AI-powered automation for internal audit workflows</t>
  </si>
  <si>
    <t xml:space="preserve">Oxus automates internal audits for pre-IPO and public companies using AI. Companies including leading payroll providers, public biotechs, and social media enterprises work with us to streamline audit workflows and get audits done 10x faster. Learn more at: https://www.oxus-ai.com/</t>
  </si>
  <si>
    <t xml:space="preserve">Palus Finance</t>
  </si>
  <si>
    <t xml:space="preserve">Your startup's financial advisor</t>
  </si>
  <si>
    <t xml:space="preserve">After a fundraise, you want to focus 100% on scaling your company, but suddenly there's a mountain of finance and ops decisions you need to figure out. Though these tasks feel like distractions, making the wrong decisions here can literally kill your company. Palus is your startup's financial advisor. We help you with the decisions that come with scaling: where to store your cash, how to think about runway, and how to optimize your company’s finance/ops setup. Palus will save you dozens of hours on operations work, help you avoid making financial mistakes, and our cash management service can earn you $100s of thousands in extra yield on your fundraise without switching banks or taking on unnecessary risk. And you can reach us 24/7 via Slack. What makes us an advisor and not another bank or finance tool is that we're an actual fiduciary, not a product with a salesperson attached. Mercury, Rho, and Brex can't legally give you financial advice; they hand you a dashboard and leave the decisions to you. Palus signs an advisory contract with you, giving us a legal fiduciary duty to act in your company’s best interest. This lets us give you actionable financial advice and optimize your cash to best suit your goals and company’s needs. Sam and Michael are technical cofounders who met at Caltech. Sam previously built the AI research platform for a $3T AUM asset manager; Michael built quantum computers for the defense industry.</t>
  </si>
  <si>
    <t xml:space="preserve">https://palus.finance</t>
  </si>
  <si>
    <t xml:space="preserve">https://www.ycombinator.com/companies/palus-finance</t>
  </si>
  <si>
    <t xml:space="preserve">Panta</t>
  </si>
  <si>
    <t xml:space="preserve">AI Native Commercial Insurance Brokerage</t>
  </si>
  <si>
    <t xml:space="preserve">Panta is a technology-enabled commercial insurance brokerage: we combine AI-powered internal workflows with licensed brokers to help businesses secure complex coverage faster than anyone in the world.</t>
  </si>
  <si>
    <t xml:space="preserve">https://pantainsure.com</t>
  </si>
  <si>
    <t xml:space="preserve">https://www.ycombinator.com/companies/panta</t>
  </si>
  <si>
    <t xml:space="preserve">Parameter</t>
  </si>
  <si>
    <t xml:space="preserve">Security builds trust. Strengthen both, all on one platform.</t>
  </si>
  <si>
    <t xml:space="preserve">Parameter builds AI agents that run continuous penetration tests against your apps and infrastructure. Instead of a once-a-year penetration test, Parameter's agents works 24/7 to find and verify critical vulnerabilities so you can prevent them before attackers. Formerly Hex Security</t>
  </si>
  <si>
    <t xml:space="preserve">https://parameter.ai?utm_source=ycombinator&amp;utm_medium=referral&amp;utm_campaign=parameter-profile</t>
  </si>
  <si>
    <t xml:space="preserve">https://www.ycombinator.com/companies/parameter</t>
  </si>
  <si>
    <t xml:space="preserve">AI front &amp; back office agent for dental practices</t>
  </si>
  <si>
    <t xml:space="preserve">Patientdesk is an AI bookings system that helps healthcare practices make more money. We do this by handling bookings, payments, and insurance to fill up a provider's calendar with high value appointments.</t>
  </si>
  <si>
    <t xml:space="preserve">The first AI-powered worldbuilding and gameplay platform</t>
  </si>
  <si>
    <t xml:space="preserve">Pax Historia is an AI powered sandbox game where players create and upload whatever worlds they can imagine for others to play. What if Rome never fell? What if aliens invaded Earth? What if you were a college dropout creating a tech startup? The ability to create, edit, and copy custom maps, actors, historical context, and more means that users can play nearly any scenario they can imagine. We've organically built a passionate fanbase of tens of thousands of daily active players and we're excited to expand on this early start. Consider joining us to help build vastly better tools for creators and experiences for players.</t>
  </si>
  <si>
    <t xml:space="preserve">Payna</t>
  </si>
  <si>
    <t xml:space="preserve">AI Licensing Agent for Regulated Industries</t>
  </si>
  <si>
    <t xml:space="preserve">Payna is building the AI licensing agent for regulated companies. We automate the filings, renewals, amendments, and regulator follow ups required to get licensed and stay licensed across jurisdictions, so teams no longer have to manage compliance through spreadsheets, email threads, and expensive outside firms. Starting with financial services categories like lending, debt collection, and money transmission, Payna helps companies move faster, stay compliant, and scale without adding compliance headcount linearly.</t>
  </si>
  <si>
    <t xml:space="preserve">https://payna.com/</t>
  </si>
  <si>
    <t xml:space="preserve">https://www.ycombinator.com/companies/payna</t>
  </si>
  <si>
    <t xml:space="preserve">Perfectly</t>
  </si>
  <si>
    <t xml:space="preserve">The AI-native Recruiting OS</t>
  </si>
  <si>
    <t xml:space="preserve">Perfectly is the first AI-native Recruiting OS. Since starting YC, we’re already helping top startups like Giga, Corgi, LlamaIndex, Porter, and dozens more hire faster. We’re seeing: -&gt; 4× faster hiring -&gt; 10× candidate volume -&gt; 2× higher interview pass rates Behind the scenes, it’s even more impressive: -&gt; 20x higher recruiting efficiency: from 20 hours to 1 hour -&gt; 250% higher candidate interview retention We automate the entire recruiting function: sourcing, outreach, screening, and qualification. Interview ready candidates just show up in Slack. We recently launched our recruiting agent Paul that provides each candidate white glove treatment so they're closed even before your offer call Hiring should work like a recommendation system. Learn more now at perfectly.so</t>
  </si>
  <si>
    <t xml:space="preserve">B2B -&gt; Recruiting and Talent</t>
  </si>
  <si>
    <t xml:space="preserve">https://www.perfectly.so/</t>
  </si>
  <si>
    <t xml:space="preserve">https://www.ycombinator.com/companies/perfectly</t>
  </si>
  <si>
    <t xml:space="preserve">Piris Labs</t>
  </si>
  <si>
    <t xml:space="preserve">The Networking Layer of AI</t>
  </si>
  <si>
    <t xml:space="preserve">Up to 80% of the most advance AI compute chips sits idle because of slow networking. Piris Labs builds photonic based networking solutions to enable fast, scalable, and low cost AI workload execution infrastructure.</t>
  </si>
  <si>
    <t xml:space="preserve">https://pirislabs.io/</t>
  </si>
  <si>
    <t xml:space="preserve">https://www.ycombinator.com/companies/pirislabs</t>
  </si>
  <si>
    <t xml:space="preserve">Pocket</t>
  </si>
  <si>
    <t xml:space="preserve">Take Notes in the Real World</t>
  </si>
  <si>
    <t xml:space="preserve">Pocket is a Y Combinator W26 company building a premium hardware plus software product in the AI voice recorder space. We are obsessed with quality and speed. We are scaling very fast in the US and now European markets and building a device experience that can become the category leader.</t>
  </si>
  <si>
    <t xml:space="preserve">https://heypocket.com/now</t>
  </si>
  <si>
    <t xml:space="preserve">https://www.ycombinator.com/companies/pocket</t>
  </si>
  <si>
    <t xml:space="preserve">Pollen</t>
  </si>
  <si>
    <t xml:space="preserve">AI employees trained on your firm's workflows.</t>
  </si>
  <si>
    <t xml:space="preserve">Pollen gives firms an AI employee trained on their exact workflows.</t>
  </si>
  <si>
    <t xml:space="preserve">https://www.pollen.cx/</t>
  </si>
  <si>
    <t xml:space="preserve">https://www.ycombinator.com/companies/pollen</t>
  </si>
  <si>
    <t xml:space="preserve">Polymath</t>
  </si>
  <si>
    <t xml:space="preserve">Simulation environments to train &amp; evaluate long-horizon AI agents</t>
  </si>
  <si>
    <t xml:space="preserve">Polymath is a data lab focused on improving long-horizon agent capabilities and alignment.</t>
  </si>
  <si>
    <t xml:space="preserve">https://polymathlabs.ai/</t>
  </si>
  <si>
    <t xml:space="preserve">https://www.ycombinator.com/companies/polymath</t>
  </si>
  <si>
    <t xml:space="preserve">Polymorph</t>
  </si>
  <si>
    <t xml:space="preserve">Building secure polymorphic apps</t>
  </si>
  <si>
    <t xml:space="preserve">Team has extensive startup, AI, and math backgrounds: - founding engineer at a unicorn - ML infrastructure @ Scale AI (inference), AWS Bedrock (fine-tuning) - ads engineering @ Meta &amp; Twitch - IMO &amp; IOI medalists</t>
  </si>
  <si>
    <t xml:space="preserve">https://usepolymorph.com/</t>
  </si>
  <si>
    <t xml:space="preserve">https://www.ycombinator.com/companies/polymorph</t>
  </si>
  <si>
    <t xml:space="preserve">An AI primary care doctor in your pocket</t>
  </si>
  <si>
    <t xml:space="preserve">Prana replaces the reactive, 15-minute annual physical with continuous, proactive care. We connect to your medical records and wearables to watch for "clinical drift," catching subtle declines in health that human doctors miss between visits. Most AI health apps are just chatbots. Prana is a full-stack medical provider. Our AI acts as a always-on physician that watches your data, explains your labs, and manages your prescriptions. Safety &amp; Scale: We automate 90% of the "grunt work" (history taking, logistics, triage) so our human doctors can focus purely on high-leverage decisions. This allows us to offer 24/7 physician care for a fraction of the cost of traditional care. The Team: - Meer Patel (CEO): JHU BME. Deferred Brown Medical School to build Prana because code scales better than appointments. - Vishvam Rawal (CTO): Ex-Quant. Building high-frequency data infrastructure for health signals. - Sanjit Menon (CHO): Graduating MD Candidate. Deep clinical expertise to ensure our models practice good medicine. Traction: Live in beta with early users.</t>
  </si>
  <si>
    <t xml:space="preserve">Protent</t>
  </si>
  <si>
    <t xml:space="preserve">Real time intelligence for law enforcement &amp; security teams.</t>
  </si>
  <si>
    <t xml:space="preserve">We provide real-time video intelligence that identifies escalating incidents as they unfold. Protent detects early escalation patterns and predictive threat signals, giving security teams the immediate context they need to prioritize alerts and intervene before situations spiral out of control.</t>
  </si>
  <si>
    <t xml:space="preserve">https://protent.ai</t>
  </si>
  <si>
    <t xml:space="preserve">https://www.ycombinator.com/companies/protent</t>
  </si>
  <si>
    <t xml:space="preserve">Proximitty</t>
  </si>
  <si>
    <t xml:space="preserve">AI operating system for commercial loans</t>
  </si>
  <si>
    <t xml:space="preserve">Proximitty is the AI operating system for commercial loans - we build regulator-grade AI agents that ingest and parse documents, spread financials, automate loan operations and track covenants. We help FDIC-insured banks and fintechs underwrite faster and scale their loan books without scaling costs.</t>
  </si>
  <si>
    <t xml:space="preserve">https://proximitty.ai</t>
  </si>
  <si>
    <t xml:space="preserve">https://www.ycombinator.com/companies/proximitty</t>
  </si>
  <si>
    <t xml:space="preserve">Q2Q</t>
  </si>
  <si>
    <t xml:space="preserve">We help private equity teams find acquisition targets faster</t>
  </si>
  <si>
    <t xml:space="preserve">Q2Q is the AI-native outbound engine for deal sourcing. Tell us the types of companies you want to buy, and we'll get qualified meetings booked for you. You can think of Q2Q as your personal team of AI interns. You give us your buying criteria, and we'll go out and find companies, write personalized emails, and get first calls booked with business owners for you. As the human in the loop, you'll approve messages before we send. Q2Q handles the sourcing work so you can focus on evaluating great deals.</t>
  </si>
  <si>
    <t xml:space="preserve">https://www.tryq2q.com/</t>
  </si>
  <si>
    <t xml:space="preserve">https://www.ycombinator.com/companies/q2q</t>
  </si>
  <si>
    <t xml:space="preserve">Quotient Labs</t>
  </si>
  <si>
    <t xml:space="preserve">Use Claude Code at 47% less cost in one line of installation.</t>
  </si>
  <si>
    <t xml:space="preserve">You should only be paying frontier model prices for top-shelf reasoning. But 88% of your token bill is just tool I/O. Quotient Labs runs on top of Claude Code to reduce token spend, compress context, and optimize tool calls while preserving output quality. Same models, same workflow, no changes to how you work. Benchmarked 47% less cost on real, multi-step developer workflows, with no quality loss.</t>
  </si>
  <si>
    <t xml:space="preserve">https://quotientlabs.com</t>
  </si>
  <si>
    <t xml:space="preserve">https://www.ycombinator.com/companies/quotient-labs</t>
  </si>
  <si>
    <t xml:space="preserve">RamAIn</t>
  </si>
  <si>
    <t xml:space="preserve">RamAIn - AI Employees with a computer to perform business tasks just…</t>
  </si>
  <si>
    <t xml:space="preserve">RamAIn Employees join your team just like a human. Teach them to work across systems just like a new hire and watch them work autonomously to do the work 24/7.</t>
  </si>
  <si>
    <t xml:space="preserve">https://ramain.ai</t>
  </si>
  <si>
    <t xml:space="preserve">https://www.ycombinator.com/companies/ramain</t>
  </si>
  <si>
    <t xml:space="preserve">Reframe</t>
  </si>
  <si>
    <t xml:space="preserve">AI-native, hardware procurement marketplace</t>
  </si>
  <si>
    <t xml:space="preserve">Reframe is the only AI-native marketplace for hardware teams to procure both COTS and custom manufactured components. We have access to trusted suppliers that have made parts for the most reliable hardware products that people use today (iPhones, Teslas, and more). We use Agents to automate end-to-end procurement so that hardware teams can scale while remaining lean.</t>
  </si>
  <si>
    <t xml:space="preserve">http://usereframe.ai</t>
  </si>
  <si>
    <t xml:space="preserve">https://www.ycombinator.com/companies/usereframe</t>
  </si>
  <si>
    <t xml:space="preserve">Remix</t>
  </si>
  <si>
    <t xml:space="preserve">Social media content auto-generated with your existing data</t>
  </si>
  <si>
    <t xml:space="preserve">Remix is the easiest way to create content with AI. Connect your accounts, drop in photos, voice notes, or messages, and Remix instantly creates posts in your style: articles, tweets, carousels, short-form videos, even content riffing on the latest trending formats. Chat with 100s of parallel AI agents that handle everything from picking your best photos to writing copy to applying edits, all at once. Instagram was the easiest way to create photos on mobile. Remix is the easiest way to create everything else. Try it for yourself. Download the app and we'll instantly generate content from your LinkedIn and Twitter.</t>
  </si>
  <si>
    <t xml:space="preserve">https://remix.re</t>
  </si>
  <si>
    <t xml:space="preserve">https://www.ycombinator.com/companies/remix-3</t>
  </si>
  <si>
    <t xml:space="preserve">Remy AI</t>
  </si>
  <si>
    <t xml:space="preserve">Automating dexterous tasks in warehouses with AI-powered robots</t>
  </si>
  <si>
    <t xml:space="preserve">Building robots and training models for automating manipulation in warehouse, starting with e-commerce 3PLs</t>
  </si>
  <si>
    <t xml:space="preserve">https://www.tryremy.ai/</t>
  </si>
  <si>
    <t xml:space="preserve">https://www.ycombinator.com/companies/remy-ai</t>
  </si>
  <si>
    <t xml:space="preserve">Train, eval and build autonomous agents</t>
  </si>
  <si>
    <t xml:space="preserve">Ressl AI helps teams bridge the gap from prototype to production by providing the platform needed to train, benchmark, and deploy autonomous agents that actually work in real-world business systems.</t>
  </si>
  <si>
    <t xml:space="preserve">REV1</t>
  </si>
  <si>
    <t xml:space="preserve">Claude Code for Mechanical Engineers</t>
  </si>
  <si>
    <t xml:space="preserve">REV1 is Claude code for mechanical engineers, starting with automating the process of turning 3D designs into 2D manufacturing drawings – which is more than 25% of all of what a mechanical engineer does - our software does it in minutes. Compressing hours of work into minutes while delivering consistent, higher quality results.</t>
  </si>
  <si>
    <t xml:space="preserve">https://rev1.so</t>
  </si>
  <si>
    <t xml:space="preserve">https://www.ycombinator.com/companies/rev1</t>
  </si>
  <si>
    <t xml:space="preserve">Revion</t>
  </si>
  <si>
    <t xml:space="preserve">Intelligence for Automotive Operations</t>
  </si>
  <si>
    <t xml:space="preserve">Revion is building the operating system for Automotive Retail. Our first product helps Technicians automate administrative work, which drains 30-40% of their day. With Revion, Auto Retailers can service more vehicles and drive more high-margin Revenue.</t>
  </si>
  <si>
    <t xml:space="preserve">https://revion.inc</t>
  </si>
  <si>
    <t xml:space="preserve">https://www.ycombinator.com/companies/revion</t>
  </si>
  <si>
    <t xml:space="preserve">Rhizome AI</t>
  </si>
  <si>
    <t xml:space="preserve">Agent Platform for Life Sciences</t>
  </si>
  <si>
    <t xml:space="preserve">It takes 500,000 days of office work to bring a drug to market. We want to make it 5. To get there, we need agents doing most of the work. Today, our research agent is the best way to know what the FDA thinks. Users ask a question and get an answer backed by up to 1,000 documents, where each statement has a citation. It’s the best because we have the best retrieval engine. We’ve tuned it on our life science-specific dataset, and we find what others miss. As more teams use Rhizome, we gain more data on what regulatory professionals actually need, which makes retrieval even better. This flywheel is how we become the retrieval engine that powers all human and agent work in life sciences. Chetan started his career as a research engineer, but quickly realized he enjoyed building more than research. He joined EvolutionaryScale as their sole founding product engineer, launching their developer-scientist platform and scaling to tens of thousands of users and billions of API calls. He was also #16 at Instabase helping banks with document processing, closing $7m as the technical closer. Agents can do magical things today, but most in life sciences only use them to edit emails. Agents are missing the context they need to 100x the number of drugs we can bring to market. Rhizome AI is focused on that critical problem.</t>
  </si>
  <si>
    <t xml:space="preserve">New York City, NY, USA; Remote</t>
  </si>
  <si>
    <t xml:space="preserve">https://rhizomeai.com/</t>
  </si>
  <si>
    <t xml:space="preserve">https://www.ycombinator.com/companies/rhizome-ai</t>
  </si>
  <si>
    <t xml:space="preserve">AI agents that grow revenue for home services businesses</t>
  </si>
  <si>
    <t xml:space="preserve">Robby is an AI growth engine for home services businesses that uncovers revenue opportunities and collects additional data from every technician visit. Our AI combines customer and third party data to generate dozens of new leads every day, and then arms the technicians with talking points to increase close rates, giving GMs a single command center to manage and drive revenue. We have several paying customers that are each uncovering 6 figures in additional revenue opportunities every week. On our first day of launch, we helped close $40k in new business within an hour. Our team has spent the last few months riding along with dozens of technicians and shadowing every position in the office to best understand the industry. We're also studying for the EPA 608 exam to become certified technicians ourselves. Vineet and Feroze have both built critical products and infra at prominent startups (Ironclad, Porter, Affinity, Uber, Cloud Health Systems). Joe previously consulted PE firms on software acquisitions and led home services growth projects at Bain. We all met at Harvard Business School, and dropped out to work on Robby full-time.</t>
  </si>
  <si>
    <t xml:space="preserve">RoboDock</t>
  </si>
  <si>
    <t xml:space="preserve">Robots that run autonomous depots for autonomous fleets.</t>
  </si>
  <si>
    <t xml:space="preserve">RoboDock builds robots that automate depot operations, like charging and vehicle checks, for electric and autonomous vehicle fleets. We turn fleet depots from manual sites into self-running systems that lower operational costs and increase vehicle uptime.</t>
  </si>
  <si>
    <t xml:space="preserve">https://www.robodock.tech/</t>
  </si>
  <si>
    <t xml:space="preserve">https://www.ycombinator.com/companies/robodock</t>
  </si>
  <si>
    <t xml:space="preserve">Rubric AI</t>
  </si>
  <si>
    <t xml:space="preserve">Reasoning and verification infra for AI</t>
  </si>
  <si>
    <t xml:space="preserve">Rubric AI (backed by Y Combinator) is the reasoning and verification infrastructure for AI. We're building the human and computational layer that turns expert judgment into training signals for the world's most consequential AI systems.</t>
  </si>
  <si>
    <t xml:space="preserve">https://www.ycombinator.com/companies/rubric-ai</t>
  </si>
  <si>
    <t xml:space="preserve">Fastest inference anywhere: open models on-prem, hosted or on-device</t>
  </si>
  <si>
    <t xml:space="preserve">RunAnywhere runs open-weight models at full speed wherever a company needs them. Wally is our inference stack for open models: serverless inference, BYOC, or on-prem, so code and data never leave their network. One command puts a Wally-served model inside Claude Code, DeepSeek Harness, OpenCode, Hermes, OpenClaw, etc. When a model fits on the device, the same tooling runs it locally through our open-source SDKs for iOS, Android, macOS, Windows, Linux, and web, built on kernels written by our agentic harness for Apple and Qualcomm silicon (10K+ GitHub stars).</t>
  </si>
  <si>
    <t xml:space="preserve">Guardrails to validate your agent's actions before they execute</t>
  </si>
  <si>
    <t xml:space="preserve">Your agent processed a refund without looking up the order ID, costing you thousands. You only found out three hours later from a support ticket. Evals, output scoring, and observability can reduce the likelihood of mistakes like these occurring - but there's no solution that inspects and prevents an action as it’s about to execute. Salus does that. We’ve built an API that wraps around your agent and checks its actions at run time, blocking incorrect ones and providing immediate feedback to guide retries.</t>
  </si>
  <si>
    <t xml:space="preserve">Multilingual voice agents that outperform humans</t>
  </si>
  <si>
    <t xml:space="preserve">Samora runs multilingual voice operations for organizations with high-volume calling without requiring engineering teams, call centers, or AI expertise. Many important tasks still depend on phone calls, including customer support, outreach, follow-ups, screening, and intake. But voice AI often fails in production because real callers interrupt, go off-script, switch languages mid-sentence, and speak in local dialects. Teams also worry about safety and compliance, especially when an agent can accidentally make the wrong promise. Samora solves this with voice agents that sound local and follow strict rules. Samora agents handle inbound and outbound calls, collect information, and update internal systems like CRMs, ticketing tools, and ATS platforms. When a call becomes sensitive or uncertain, the agent hands off to a human. It can also follow up over WhatsApp, SMS, or email when needed. With Samora, teams get: 1. Voice agents that work in real conversations, including dialects and code-switching 2. Strict safety controls so agents don’t make unauthorized offers, discounts, or promises 3. Calls that result in completed actions, system updates, and safe human handoff</t>
  </si>
  <si>
    <t xml:space="preserve">Scheduling Wizard</t>
  </si>
  <si>
    <t xml:space="preserve">Logistics infrastructure to modernize healthcare operations</t>
  </si>
  <si>
    <t xml:space="preserve">Scheduling Wizard is building the logistics infrastructure to modernize healthcare operations. Hospitals still rely on manual workflows to manage staffing, patient flow, and core operations, contributing to $760B in annual inefficiency. 20 departments across 16 hospitals already outsource their physician scheduling to us, powered by our internal Scheduling Programming Language and AI-driven workflows. We work with Mass General, Johns Hopkins, UT Southwestern, UCSF, and many others. We are actively onboarding new clients and expanding into patient triaging and provider management systems, working with partner departments at UCSF and other leading institutions. Scheduling Wizard aims to bring healthcare operations into the future by reducing administrative burden and improving clinical care coordination. Our goal is to create the AI-native administrative layer in healthcare operations.</t>
  </si>
  <si>
    <t xml:space="preserve">Washington, DC, USA</t>
  </si>
  <si>
    <t xml:space="preserve">https://www.schedulingwiz.com</t>
  </si>
  <si>
    <t xml:space="preserve">https://www.ycombinator.com/companies/scheduling-wizard</t>
  </si>
  <si>
    <t xml:space="preserve">Seeing Systems</t>
  </si>
  <si>
    <t xml:space="preserve">Modular AI-Commanded Drones for Defence</t>
  </si>
  <si>
    <t xml:space="preserve">We engineer inexpensive, autonomous strike drones designed to operate in the most contested combat environments on Earth! By combining true hardware modularity with an agentic control system that lowers cognitive load on operators, we enable faster upgrades, broader adoption, and more than 2x reduction in lifecycle cost. Our customers and partners include the UK Royal Marine Commandos, several other units in the UK, and 4 other NATO forces, and we are currently shipping prototypes for iterative feedback. Think of us as Anduril, but with worse weather, and better banter.</t>
  </si>
  <si>
    <t xml:space="preserve">https://www.seeing-systems.com</t>
  </si>
  <si>
    <t xml:space="preserve">https://www.ycombinator.com/companies/seeing-systems</t>
  </si>
  <si>
    <t xml:space="preserve">Sentrial</t>
  </si>
  <si>
    <t xml:space="preserve">Datadog for Agent Reliability</t>
  </si>
  <si>
    <t xml:space="preserve">Sentrial is the monitoring platform for AI products in production. When your AI product/agent loops indefinitely, hallucinates, or frustrates users, Sentrial detects it in real-time, diagnoses the root cause, and recommends specific fixes. We provide the monitoring, evaluation, and debugging infrastructure that traditional tools weren't built for, so teams iterate based on production reality, not just offline evals.</t>
  </si>
  <si>
    <t xml:space="preserve">https://sentrial.com/</t>
  </si>
  <si>
    <t xml:space="preserve">https://www.ycombinator.com/companies/sentrial</t>
  </si>
  <si>
    <t xml:space="preserve">Sequence Markets</t>
  </si>
  <si>
    <t xml:space="preserve">Low-latency execution across crypto, prediction, and tokenized assets</t>
  </si>
  <si>
    <t xml:space="preserve">Sequence Markets lets traders execute across crypto exchanges, prediction markets, and tokenized-asset venues from one system. We built proprietary low-latency infrastructure and routing software so users can package one market view into one trade with the speed, access, and transparency execution requires.</t>
  </si>
  <si>
    <t xml:space="preserve">https://sequencemkts.com/</t>
  </si>
  <si>
    <t xml:space="preserve">https://www.ycombinator.com/companies/sequence-markets</t>
  </si>
  <si>
    <t xml:space="preserve">Container unloading robots for warehouses</t>
  </si>
  <si>
    <t xml:space="preserve">We deploy robots in warehouses to automate the most demanding job in logistics: unloading loose-loaded containers. Our customers include 3PLs (CEVA, Stord), distributors (DHL, PostNL) and many more logistics companies.</t>
  </si>
  <si>
    <t xml:space="preserve">Shofo</t>
  </si>
  <si>
    <t xml:space="preserve">The World's Largest Video Library</t>
  </si>
  <si>
    <t xml:space="preserve">We are building the world’s largest video library. We've aggregated billions of videos into a searchable index and use agents to find and label the exact datasets a lab needs on demand. If a lab needs 100K hours of cooking videos where someone is holding a pan, with reasoning annotations on top, our agents search the index, extract the matching subset, route it through our labeling pipeline, and deliver a custom dataset in days, not months.</t>
  </si>
  <si>
    <t xml:space="preserve">https://shofo.ai/</t>
  </si>
  <si>
    <t xml:space="preserve">https://www.ycombinator.com/companies/shofo</t>
  </si>
  <si>
    <t xml:space="preserve">shortkit</t>
  </si>
  <si>
    <t xml:space="preserve">Media infra for consumer apps</t>
  </si>
  <si>
    <t xml:space="preserve">ShortKit lets any consumer app launch a TikTok-grade media expereinces. Michael, spent 6 years at YouTube building the infrastructure that powers YouTube Shorts. Neil, prev. scaled a SaaS company from 0 to $6M ARR as employee #1. We handle the full media stack, starting with short form video - client SDKs, video infrastructure, rec systems, and monetization - so product teams don't have to.</t>
  </si>
  <si>
    <t xml:space="preserve">https://www.shortkit.dev</t>
  </si>
  <si>
    <t xml:space="preserve">https://www.ycombinator.com/companies/shortkit</t>
  </si>
  <si>
    <t xml:space="preserve">iMessage revenue channel for DTC brands that brings customers back</t>
  </si>
  <si>
    <t xml:space="preserve">Signals is a new iMessage revenue channel for DTC ecommerce brands that gets customers to buy again. After a purchase, we open a real two-way conversation over iMessage, the channel customers actually read and reply to, and turn it into repeat revenue. In A/B tests, that drives ~$30 in average incremental repeat revenue per conversation.</t>
  </si>
  <si>
    <t xml:space="preserve">Sila</t>
  </si>
  <si>
    <t xml:space="preserve">Agentic Whatsapp</t>
  </si>
  <si>
    <t xml:space="preserve">Sila is an agentic WhatsApp where messaging is built for teams and agents to get work done in the same conversations. Instant team and agent messaging available around the world. Our mission is to bring super intelligence to everyone globally.</t>
  </si>
  <si>
    <t xml:space="preserve">https://silahq.com</t>
  </si>
  <si>
    <t xml:space="preserve">https://www.ycombinator.com/companies/sila</t>
  </si>
  <si>
    <t xml:space="preserve">Sitefire</t>
  </si>
  <si>
    <t xml:space="preserve">Marketing suite for the agentic web</t>
  </si>
  <si>
    <t xml:space="preserve">Sitefire (YC W26) helps brands market their products to agents. They create content and tools that get their products discovered and used by AI agents (ChatGPT, OpenClaw). Sitefire identifies which content drives AI visibility, and automatically creates it. The teams using Sitefire execute on-page and off-page actions to deliver measurable top-line growth.</t>
  </si>
  <si>
    <t xml:space="preserve">https://sitefire.ai</t>
  </si>
  <si>
    <t xml:space="preserve">https://www.ycombinator.com/companies/sitefire</t>
  </si>
  <si>
    <t xml:space="preserve">Skillsync</t>
  </si>
  <si>
    <t xml:space="preserve">Notion for AI chats</t>
  </si>
  <si>
    <t xml:space="preserve">Skillsync gives you one place for everything your agents have ever done, and makes all of it portable. Move a full session between Claude Code, Cursor, Codex, and any other agent with nothing lost, including the entire conversation, the model's reasoning, and every tool call, not just a summary, so the next agent picks up like it was there the whole time. Because your sessions are portable, they stack up instead of disappearing. Every past session stays searchable and feeds your next agent automatically, so you never re-explain yourself or redo work you have already done. Everything stays on your machine and nothing leaves unless you choose to send it. Skillsync is local-first and yours, and its core engine, txcript, is open source, a portable session format that no single provider owns.</t>
  </si>
  <si>
    <t xml:space="preserve">https://skillsync.com</t>
  </si>
  <si>
    <t xml:space="preserve">https://www.ycombinator.com/companies/skillsync</t>
  </si>
  <si>
    <t xml:space="preserve">Sparkles</t>
  </si>
  <si>
    <t xml:space="preserve">Make everyone on your team an engineer</t>
  </si>
  <si>
    <t xml:space="preserve">Sparkles is like Lovable for existing projects, so even Sharon from Marketing can change the button styling on the front page without going back and forth with the dev team. Someone technical connects their GitHub to Sparkles, sets up the repository and environment variables, and then anyone on the team with a @yourcompany.com email can log in on Sparkles and create pull requests without needing to know what Git is.</t>
  </si>
  <si>
    <t xml:space="preserve">https://sparkles.dev</t>
  </si>
  <si>
    <t xml:space="preserve">https://www.ycombinator.com/companies/sparkles</t>
  </si>
  <si>
    <t xml:space="preserve">Sponge</t>
  </si>
  <si>
    <t xml:space="preserve">Financial infrastructure for the agent economy</t>
  </si>
  <si>
    <t xml:space="preserve">Sponge is the easiest way for agents to hold and spend money, and for businesses to sell directly to them. For agents: Sponge lets agents hold funds and transact autonomously with other agents and businesses using bank accounts, cards, and crypto. Agents can autonomously purchase services such as email, browser use, and premium data without human involvement. For businesses: Sponge makes it easy to onboard and accept payments from agents without human interaction. Businesses can sell their services directly to agents with a few clicks, no code changes required.</t>
  </si>
  <si>
    <t xml:space="preserve">https://paysponge.com/</t>
  </si>
  <si>
    <t xml:space="preserve">https://www.ycombinator.com/companies/sponge</t>
  </si>
  <si>
    <t xml:space="preserve">Stablecoin Global Bank Account</t>
  </si>
  <si>
    <t xml:space="preserve">SpotPay is a global borderless neobank. We give users one account that works for everything payments related: receiving money from abroad, paying locally, spending anywhere with the SpotPay card and saving and earning on their balance.</t>
  </si>
  <si>
    <t xml:space="preserve">Squid</t>
  </si>
  <si>
    <t xml:space="preserve">AI agents for power grid planning  🦑</t>
  </si>
  <si>
    <t xml:space="preserve">We believe the electricity grid is the most important machine on Earth. If we want electrification to move fast, the teams planning and operating networks need software that is as modern as the challenge. Our thesis is simple. Better decisions come from one unified, trusted network model. When everyone works from the same model, planning becomes consistent, assumptions are visible, and progress stops getting lost in spreadsheets and static reports. Squid is AI powered grid planning in your browser. We have spent years inside National Grid, Octopus Energy, and AWS, building and learning what breaks. Now we are building what we wished existed.</t>
  </si>
  <si>
    <t xml:space="preserve">https://squid.energy</t>
  </si>
  <si>
    <t xml:space="preserve">https://www.ycombinator.com/companies/squid</t>
  </si>
  <si>
    <t xml:space="preserve">Stilta</t>
  </si>
  <si>
    <t xml:space="preserve">Agentic AI for intellectual property</t>
  </si>
  <si>
    <t xml:space="preserve">Stilta builds agentic AI software for intellectual property, starting with patent litigation. Whether challenging or enforcing a patent, leading IP law firms and in-house IP teams use Stilta for source-backed, auditable analysis. Innovation drives the world's most important breakthroughs, but the tools that protect it haven't kept pace. Patent attorneys do high-stakes work with a process still built on manual document review and disconnected point solutions. Generative AI helps with drafting, but it doesn't deliver the trust and transparency that legal-grade work demands - no sources, no traceability, no audit trail. Stilta takes a different approach. We use agentic AI to run search and analysis at a scale manual methods can't match, with every output source-backed, referenced, and auditable. Until recently, this wasn't technically possible. We're four engineers from McKinsey/QuantumBlack who built and deployed AI systems at some of the world's largest organizations. With Stilta, we're equipping the people who protect the world's most valuable ideas with tools that match the stakes.</t>
  </si>
  <si>
    <t xml:space="preserve">https://stilta.com</t>
  </si>
  <si>
    <t xml:space="preserve">https://www.ycombinator.com/companies/stilta</t>
  </si>
  <si>
    <t xml:space="preserve">Strand AI</t>
  </si>
  <si>
    <t xml:space="preserve">Multimodal foundation models to predict uncollected patient biology</t>
  </si>
  <si>
    <t xml:space="preserve">Strand AI develops foundation models to generate missing bio-data about patients. With this imputed data, pharmaceutical companies can select better patients for their drug trials and shave months from their drug launch timelines. We’ve already trained a multimodal foundation model that integrates spatial biology modalities, beating SOTA at a fraction of the cost.</t>
  </si>
  <si>
    <t xml:space="preserve">https://strandai.com</t>
  </si>
  <si>
    <t xml:space="preserve">https://www.ycombinator.com/companies/strand-ai</t>
  </si>
  <si>
    <t xml:space="preserve">Synthetic Sciences</t>
  </si>
  <si>
    <t xml:space="preserve">Infrastructure for Autonomous Science</t>
  </si>
  <si>
    <t xml:space="preserve">Synthetic Sciences is a research lab building infrastructure for scientific superintelligence. Empirical science is bottlenecked by verification that is slow, expensive, and imperfect. We work on tooling, evals, training environments, algorithms, and models that make autonomous science possible.</t>
  </si>
  <si>
    <t xml:space="preserve">https://syntheticsciences.ai/</t>
  </si>
  <si>
    <t xml:space="preserve">https://www.ycombinator.com/companies/synthetic-sciences</t>
  </si>
  <si>
    <t xml:space="preserve">Talking Computers</t>
  </si>
  <si>
    <t xml:space="preserve">Real-time interaction models for voice agents</t>
  </si>
  <si>
    <t xml:space="preserve">AI lab building interaction models to make AI symbiotic with humans. Our early models sit at the Pareto frontier of intelligence and interactivity, measured by time to first audio token, and enable voice agents that are both highly capable and genuinely human-like</t>
  </si>
  <si>
    <t xml:space="preserve">https://talkingcomputers.ai</t>
  </si>
  <si>
    <t xml:space="preserve">https://www.ycombinator.com/companies/talking-computers</t>
  </si>
  <si>
    <t xml:space="preserve">TensorTest</t>
  </si>
  <si>
    <t xml:space="preserve">Evals, RL environments and training data for creative tasks</t>
  </si>
  <si>
    <t xml:space="preserve">TensorTest (formerly Ritivel) builds evaluations, reinforcement-learning environments, and expert training data for AI labs developing creative agents, starting with video editing. An agent can produce a valid video file without delivering an edit that meets the client’s brief. Labs need reliable ways to measure creative quality, identify failures, and give agents feedback they can learn from. Our first benchmark, TimelineBench, gives agents client video-editing jobs with raw footage, audio, and a brief. It evaluates the finished work using a verifier calibrated on thousands of blind judgments from professional editors. Across 16 agents we tested, the best passed only 26.8% of jobs. Most failures came down to creative craft rather than broken output. We offer labs private evaluations to identify where their models fail, training environments that use our verifier’s scores as rewards, and expert-created training data, including professional editing demonstrations, preference pairs, and grading rubrics. These offerings connect evaluation to training: identify what an agent gets wrong, provide feedback on its attempts, and supply examples of better work. Our team comes from IIT Bombay and has trained language models and built agentic systems at Microsoft Research.</t>
  </si>
  <si>
    <t xml:space="preserve">https://www.tensortest.com</t>
  </si>
  <si>
    <t xml:space="preserve">https://www.ycombinator.com/companies/tensortest</t>
  </si>
  <si>
    <t xml:space="preserve">AI EMR for medspas &amp; wellness clinics</t>
  </si>
  <si>
    <t xml:space="preserve">Tepali is the AI EMR for medspas &amp; wellness clinics. Front desk, charting, point of sale, and marketing in one system, with an AI employee that books new leads, charts every appointment, and brings past clients back.</t>
  </si>
  <si>
    <t xml:space="preserve">Terminal Use</t>
  </si>
  <si>
    <t xml:space="preserve">AI-native transformation for operations-heavy companies</t>
  </si>
  <si>
    <t xml:space="preserve">AI pilots are everywhere. Few organizations can point to a department that actually runs AI-first. Terminal Use changes that. We help operations teams rebuild how work gets done, end to end. We begin with one critical process, map how it runs today and where it breaks, then redesign the workflow around AI agents, existing systems, and people at the right control points. The result is a working AI-first process, measurable operational change, and a blueprint for transforming the broader department. Founded by ex-Palantir FDEs and engineers working on transformation at scale, Terminal Use works across construction, logistics, manufacturing, retail, and other complex operating environments.</t>
  </si>
  <si>
    <t xml:space="preserve">https://www.terminaluse.com/</t>
  </si>
  <si>
    <t xml:space="preserve">https://www.ycombinator.com/companies/terminal-use</t>
  </si>
  <si>
    <t xml:space="preserve">Terranox AI</t>
  </si>
  <si>
    <t xml:space="preserve">The first AI-powered uranium discovery company</t>
  </si>
  <si>
    <t xml:space="preserve">Terranox is the first vertically integrated AI-powered uranium exploration company. We find high-grade uranium deposits in North America using AI trained on 70+ years of exploration outcomes. Our mission is to find the fuel we need to power the next century with nuclear energy.</t>
  </si>
  <si>
    <t xml:space="preserve">https://terranox.ai</t>
  </si>
  <si>
    <t xml:space="preserve">https://www.ycombinator.com/companies/terranox-ai</t>
  </si>
  <si>
    <t xml:space="preserve">The Token Company</t>
  </si>
  <si>
    <t xml:space="preserve">Compression middleware that improves LLM outputs</t>
  </si>
  <si>
    <t xml:space="preserve">Compression middleware that removes context bloat in milliseconds, lowering costs and improving end-to-end latency. Compression is especially effective across natural language workloads. In a blind LLM arena case study with one of our customers, compressed requests increased user preference, lowered costs, and lifted purchase volume by 5%.</t>
  </si>
  <si>
    <t xml:space="preserve">https://thetokencompany.com</t>
  </si>
  <si>
    <t xml:space="preserve">https://www.ycombinator.com/companies/the-token-company</t>
  </si>
  <si>
    <t xml:space="preserve">Traverse</t>
  </si>
  <si>
    <t xml:space="preserve">Research lab solving non-verifiable work</t>
  </si>
  <si>
    <t xml:space="preserve">https://www.traverse.so</t>
  </si>
  <si>
    <t xml:space="preserve">https://www.ycombinator.com/companies/traverse</t>
  </si>
  <si>
    <t xml:space="preserve">Travo</t>
  </si>
  <si>
    <t xml:space="preserve">.</t>
  </si>
  <si>
    <t xml:space="preserve">https://www.travoai.com/</t>
  </si>
  <si>
    <t xml:space="preserve">https://www.ycombinator.com/companies/travo</t>
  </si>
  <si>
    <t xml:space="preserve">Turnstone</t>
  </si>
  <si>
    <t xml:space="preserve">Work with agents that already know you</t>
  </si>
  <si>
    <t xml:space="preserve">Turnstone is the AI workspace where your agents already know you. Connect your apps (e.g. email, calendar, Slack, Drive) and your local folders. Turnstone turns all of it into your second brain and continuously updates it. Spin up agents (e.g. chief of staff, research, GTM) that all share that brain, so you stop re-explaining yourself and start getting real work done. It all lives on your machine and runs on any model you already pay for. Ask your agent once, and it's done.</t>
  </si>
  <si>
    <t xml:space="preserve">https://myturnstone.ai</t>
  </si>
  <si>
    <t xml:space="preserve">https://www.ycombinator.com/companies/turnstone</t>
  </si>
  <si>
    <t xml:space="preserve">Unifold</t>
  </si>
  <si>
    <t xml:space="preserve">Multi-chain deposit and payment infrastructure</t>
  </si>
  <si>
    <t xml:space="preserve">Launch crypto deposits in minutes. Unifold is a developer-first API + SDK that makes it easy for any app to accept on-chain deposits – across any chain and token – with less than 10 lines of code. We handle the full deposit flow so teams can ship faster and give users a smooth experience that actually works. If you’re building a consumer-facing on-chain product and want best-in-class deposits (or want to support more chains fast), we’d love to work with you.</t>
  </si>
  <si>
    <t xml:space="preserve">Fintech -&gt; Payments</t>
  </si>
  <si>
    <t xml:space="preserve">https://unifold.io</t>
  </si>
  <si>
    <t xml:space="preserve">https://www.ycombinator.com/companies/unifold</t>
  </si>
  <si>
    <t xml:space="preserve">Unisson</t>
  </si>
  <si>
    <t xml:space="preserve">AI agents that automate B2B software implementation</t>
  </si>
  <si>
    <t xml:space="preserve">Unisson is building trusted AI subject-matter experts for teams that are responsible for customer deployments (technical customer success, implementation, sales engineering). Within 20 minutes, our agents learn to use any product and can be used by teams in Slack, text, or email. Our agents gather requirements and context from existing tools enabling them to handle complex tasks like customer health audits, onboarding, product administration, and custom integrations. With Unisson, customer-facing teams have 24/7 access to an AI SME, allowing them to scale and save thousands of hours.</t>
  </si>
  <si>
    <t xml:space="preserve">https://www.unisson.ai</t>
  </si>
  <si>
    <t xml:space="preserve">https://www.ycombinator.com/companies/unisson</t>
  </si>
  <si>
    <t xml:space="preserve">Valence</t>
  </si>
  <si>
    <t xml:space="preserve">Unified prediction markets trading platform</t>
  </si>
  <si>
    <t xml:space="preserve">Valence is a unified trading platform for prediction markets. We provide infrastructure to aggregate and execute contracts across Kalshi, Polymarket, and other platforms, surface arbitrage and mispricing opportunities in real time, and give systematic traders the API and backtesting tools they need to build and execute data-driven strategies on anything.</t>
  </si>
  <si>
    <t xml:space="preserve">https://valence.trade</t>
  </si>
  <si>
    <t xml:space="preserve">https://www.ycombinator.com/companies/valence</t>
  </si>
  <si>
    <t xml:space="preserve">Valgo</t>
  </si>
  <si>
    <t xml:space="preserve">Insurance risk layer for physical AI</t>
  </si>
  <si>
    <t xml:space="preserve">Insurers struggle to price autonomous systems because the historical data simply doesn't exist. Your car insurance draws from over 30 billion claims records, but autonomous trucks and robots have nearly zero. Valgo is the risk quantification platform that closes that gap. We are building probabilistic models of routes, tasks, and environments from the bottom up. We output a simulated loss estimate that insurers need to price coverage. Valgo is the foundational layer that gives insurance providers confidence to properly price autonomy risk. Our team combines expertise in risk estimation for autonomy with deep experience in the insurance industry. Sydney and Robert are Stanford PhDs with leading expertise in safety of physical AI systems. Sydney wrote the textbook on validating safety-critical systems and teaches the course at Stanford. Robert spent 7 years at MIT Lincoln Laboratory on the core team that designed and validated an FAA-certified aircraft collision avoidance system, now a worldwide standard. Jon is a Sloan Fellow from the Stanford GSB and an actuary who spent over 12 years in insurance leadership and led over $5 billion in M&amp;A as head of corporate development for one of the largest insurers in Asia-Pacific.</t>
  </si>
  <si>
    <t xml:space="preserve">https://valgo.ai</t>
  </si>
  <si>
    <t xml:space="preserve">https://www.ycombinator.com/companies/valgo</t>
  </si>
  <si>
    <t xml:space="preserve">Vector Legal</t>
  </si>
  <si>
    <t xml:space="preserve">A premier AI-native law firm &amp; legal operating system for Startups.</t>
  </si>
  <si>
    <t xml:space="preserve">A modern solution for Startup legal. Vector combines premier lawyers/paralegals (averaging 13+ years of experience) + custom-built AI, so our clients get world class startup legal service at a fraction of Big Law rates. See our client testimonials - https://www.vectorlegal.com/testimonials. Services: fundraise &amp; priced rounds | customer contracts and commercial contracts | international flips | complex formations | grow your team | agentic data rooms | e-signatures | cap table management | legal health checks | mergers &amp; acquisitions | co-founder separations | dissolutions.</t>
  </si>
  <si>
    <t xml:space="preserve">https://vectorlegal.com</t>
  </si>
  <si>
    <t xml:space="preserve">https://www.ycombinator.com/companies/vector-legal</t>
  </si>
  <si>
    <t xml:space="preserve">Vela</t>
  </si>
  <si>
    <t xml:space="preserve">AI Recruiting Coordinator for Executive Search</t>
  </si>
  <si>
    <t xml:space="preserve">Scheduling one interview panel takes a dozen emails. Then someone moves a call and you start over. Vela is an AI Scheduling Coordinator that handles it end to end. Just CC Vela on the thread like you would a person. It reaches out, finds times that work for everyone, chases the people who don't reply, reschedules when things change, and confirms. Over email, SMS, and WhatsApp, at any hour your candidate happens to respond. No dashboard. No new workflow. Your team works the way it already works, without the scheduling.</t>
  </si>
  <si>
    <t xml:space="preserve">https://tryvela.ai</t>
  </si>
  <si>
    <t xml:space="preserve">https://www.ycombinator.com/companies/vela</t>
  </si>
  <si>
    <t xml:space="preserve">Velum Labs</t>
  </si>
  <si>
    <t xml:space="preserve">The OS for data quality across any stack</t>
  </si>
  <si>
    <t xml:space="preserve">Velum is the operating system for data quality. Velum automatically monitors and enforces data quality across a company's data stack, so bad data never reaches dashboards. We turn data quality from a manual task into infrastructure that runs itself. Data trust you can prove. From the pipeline to the boardroom.</t>
  </si>
  <si>
    <t xml:space="preserve">https://www.velum-labs.com/</t>
  </si>
  <si>
    <t xml:space="preserve">https://www.ycombinator.com/companies/velum-labs</t>
  </si>
  <si>
    <t xml:space="preserve">Ventura</t>
  </si>
  <si>
    <t xml:space="preserve">AI Workforce for Distributors and Manufacturers</t>
  </si>
  <si>
    <t xml:space="preserve">Ventura builds the AI workforce for distributors and manufacturers, starting with quoting and order entry. It plugs into your existing ERP, follows your SOPs, and learns your team's tribal knowledge - getting smarter with every completed task.</t>
  </si>
  <si>
    <t xml:space="preserve">https://www.ventura.ai</t>
  </si>
  <si>
    <t xml:space="preserve">https://www.ycombinator.com/companies/ventura</t>
  </si>
  <si>
    <t xml:space="preserve">Verdex</t>
  </si>
  <si>
    <t xml:space="preserve">AI Verification for Insurance</t>
  </si>
  <si>
    <t xml:space="preserve">Verdex is an AI insurance adjuster. We use data streams like satellite imagery to verify claims, allowing insurers to process it immediately and save billions of dollars. We are currently helping insure over 11% of all American farmland.</t>
  </si>
  <si>
    <t xml:space="preserve">https://www.verdexai.com/</t>
  </si>
  <si>
    <t xml:space="preserve">https://www.ycombinator.com/companies/verdex</t>
  </si>
  <si>
    <t xml:space="preserve">Veriad</t>
  </si>
  <si>
    <t xml:space="preserve">AI operating system for advertising</t>
  </si>
  <si>
    <t xml:space="preserve">Veriad is building marketing agents for enterprises to run advertising campaigns end-to-end in-house.</t>
  </si>
  <si>
    <t xml:space="preserve">https://veriad.com</t>
  </si>
  <si>
    <t xml:space="preserve">https://www.ycombinator.com/companies/veriad</t>
  </si>
  <si>
    <t xml:space="preserve">Visibl Semiconductors</t>
  </si>
  <si>
    <t xml:space="preserve">Custom silicon for power electronics</t>
  </si>
  <si>
    <t xml:space="preserve">Visibl Semiconductors makes custom silicon accessible to hardware companies, starting with power electronics. We are an AI-native custom-silicon design partner that cuts ASIC development cost and timeline on mature nodes, helping teams deliver better performance and lower BOM cost. We work with data-center and AI-infrastructure power, motor drives, industrial automation and robotics, industrial power supplies and conversion, battery systems and e-mobility powertrains, EV charging, solar, energy storage, grid power, HVAC, heat pumps, and appliances. V1 boards built from off-the-shelf parts are great for getting to market quickly, but scaling to v2+ volume requires optimizing cost, size, and manufacturability. Visibl folds those parts into custom silicon built around the product: a simpler BOM, reclaimed board space, fewer supply constraints, and automation-ready assembly. We manage the full path from architecture and design through verification, fabrication, packaging, and production-ready silicon, working alongside hardware teams so they do not need an in-house chip team.</t>
  </si>
  <si>
    <t xml:space="preserve">https://visiblsemi.com</t>
  </si>
  <si>
    <t xml:space="preserve">https://www.ycombinator.com/companies/visibl-semiconductors</t>
  </si>
  <si>
    <t xml:space="preserve">Voltair</t>
  </si>
  <si>
    <t xml:space="preserve">Autonomous Drones for Earth Observation</t>
  </si>
  <si>
    <t xml:space="preserve">Voltair is building the world's first globally distributed network of autonomous drones for Earth observation. Power utilities are the perfect first customer. Aging infrastructure and extreme weather drive the need for millimeter-scale inspection data on the power grid. Utilities spend tens of billions of dollars every year just looking at their own equipment. Autonomous drone fleets will enable utilities to inspect 7 million miles of infrastructure more frequently, quickly, and accurately. Our long-range, weatherized flying robots work with charging pads installed directly on utility poles. Each new pad unlocks 1000 square miles of coverage. With a charging network deployed on the power grid, we can serve existing multi-billion dollar data markets in road, rail and telecom inspection at 10x lower prices while enabling entirely new applications in hyperlocal weather monitoring, forestry, construction, search &amp; rescue, and insurance. We envision a future in which drone "instances" are requested on-demand through our platform, enabling any application builder to serve these critical markets without ever operating their own hardware.</t>
  </si>
  <si>
    <t xml:space="preserve">https://voltairlabs.com/</t>
  </si>
  <si>
    <t xml:space="preserve">https://www.ycombinator.com/companies/voltair</t>
  </si>
  <si>
    <t xml:space="preserve">Voxel Energy</t>
  </si>
  <si>
    <t xml:space="preserve">Energy independent data centers with solar and repurposed batteries.</t>
  </si>
  <si>
    <t xml:space="preserve">The best grid connection is no grid connection. Voxel builds vertically integrated energy generation and storage systems for data centers that bypass utility connection delays. By leveraging the vast supply of second-life EV batteries and our novel DC microgrid architecture, Voxel generates datacenter power on site and drastically reduces system cost and time-to-power.</t>
  </si>
  <si>
    <t xml:space="preserve">https://voxelenergy.com/</t>
  </si>
  <si>
    <t xml:space="preserve">https://www.ycombinator.com/companies/voxel-energy</t>
  </si>
  <si>
    <t xml:space="preserve">VOYGR</t>
  </si>
  <si>
    <t xml:space="preserve">Real-world place intelligence for AI apps and agents</t>
  </si>
  <si>
    <t xml:space="preserve">VOYGR is a better maps API every agent and AI app will need. Google says '4.2 stars, open till 10 – VOYGR knows the chef left, wait times doubled, and locals moved on. Our intelligent local search combines accurate place data with fresh web context – news, articles, and events. We expand beyond 10-15 map attributes into infinite, queryable place profiles, enabling agents to reason and act in the real world. Maps are no longer browsed – LLMs/agents use them to reason and act. 20M+ apps/websites, up to 40% of search queries, and 20% of LLM prompts need local context. 10-15 attributes per place are not enough for AI. Places change constantly - restaurants close, hours change, businesses move. LLMs struggle with semantic queries “Specialty coffee shops in SF with Wi-Fi, popular with YC founders”. Agents cannot reliably “parse half the internet” - they need real-world ontology We’re experienced builders in maps, search, and ML to solve this. Vlad knows this space inside and out – he worked on the Google Maps APIs GTM, plus firsthand customer experience from building in ridesharing and travel. Yarik has spent over a decade leading ML/search teams at Apple, Google, and Meta. Google Places alone is a $XXB/Yr monopoly. Agents turn it into a transactional layer opportunity for local commerce and ads.</t>
  </si>
  <si>
    <t xml:space="preserve">https://voygr.tech</t>
  </si>
  <si>
    <t xml:space="preserve">https://www.ycombinator.com/companies/voygr</t>
  </si>
  <si>
    <t xml:space="preserve">Wayco</t>
  </si>
  <si>
    <t xml:space="preserve">AI operator for medlegal cases</t>
  </si>
  <si>
    <t xml:space="preserve">Wayco is building a unified data intelligence layer for medical treatment of legal cases. From the first intake to instant settlement.</t>
  </si>
  <si>
    <t xml:space="preserve">https://wayco.ai</t>
  </si>
  <si>
    <t xml:space="preserve">https://www.ycombinator.com/companies/wayco</t>
  </si>
  <si>
    <t xml:space="preserve">Wideframe</t>
  </si>
  <si>
    <t xml:space="preserve">AI coworker for video editors to ship more video faster</t>
  </si>
  <si>
    <t xml:space="preserve">Wideframe is an AI coworker for video editors. It automates the searching, labeling, organizing, and sequencing of footage so editors can ship videos faster. Why is this important? Well, it turns out that editors spend 3x more time preparing footage than actually editing. One agency said we will save their editors 10 hours per week. Another organized an entire documentary worth of footage in hours rather than weeks. He had 2,500+ videos, 500+ audio clips, across &gt;2.5 TB of files and our agent handled them effortlessly. Users link footage to Wideframe and then our Agent acts like an Assistant Editor to handle work like searching, labeling, organizing, and sequencing footage. Wideframe works with footage across local filesystems and cloud providers. We also supports Adobe Premiere Pro (.prproj) roundtrip. Our robust integrations are important so that Wideframe can work with source footage all the way through to delivering Premiere Pro projects to editors.</t>
  </si>
  <si>
    <t xml:space="preserve">https://wideframe.com</t>
  </si>
  <si>
    <t xml:space="preserve">https://www.ycombinator.com/companies/wideframe</t>
  </si>
  <si>
    <t xml:space="preserve">Zatanna</t>
  </si>
  <si>
    <t xml:space="preserve">Turning all software into agent-first APIs</t>
  </si>
  <si>
    <t xml:space="preserve">Zatanna creates APIs for software that doesn't have any, by reverse engineering back ends of web-based cloud and on-prem software.</t>
  </si>
  <si>
    <t xml:space="preserve">https://www.zatanna.ai/</t>
  </si>
  <si>
    <t xml:space="preserve">https://www.ycombinator.com/companies/zatanna</t>
  </si>
  <si>
    <t xml:space="preserve">ZeroSettle</t>
  </si>
  <si>
    <t xml:space="preserve">Drop-in Direct Billing SDK for In-App Purchases</t>
  </si>
  <si>
    <t xml:space="preserve">ZeroSettle is a mobile SDK that switches customers from App Store billing to direct billing. It takes 15 minutes to set up and immediately unlocks zero App Store fees, higher retention/conversion, and instant payouts.</t>
  </si>
  <si>
    <t xml:space="preserve">https://zerosettle.io</t>
  </si>
  <si>
    <t xml:space="preserve">https://www.ycombinator.com/companies/zerosettle</t>
  </si>
  <si>
    <t xml:space="preserve">Zymbly</t>
  </si>
  <si>
    <t xml:space="preserve">The decision-support layer for aviation ops teams to know what to do…</t>
  </si>
  <si>
    <t xml:space="preserve">https://www.zymbly.com</t>
  </si>
  <si>
    <t xml:space="preserve">https://www.ycombinator.com/companies/zymbly</t>
  </si>
  <si>
    <t xml:space="preserve">Counter Drone Systems. $1.6m sales. We delivered for the DoW.</t>
  </si>
  <si>
    <t xml:space="preserve">We have sold $1.6m of systems to the DoW. Multiple systems delivered to the DoW. Our first product - EDDA - is a counter drone system - small, low power, low cost fully autonomous-capable. It's designed to be used on vehicles, bases, or carried - to stop group 1 suicide drones. We have multiple contracts, sales, etc. We have 3 more products with demand in various stages of development. More details at https://9mothers.com</t>
  </si>
  <si>
    <t xml:space="preserve">Spring 2026</t>
  </si>
  <si>
    <t xml:space="preserve">AbInitio Bio</t>
  </si>
  <si>
    <t xml:space="preserve">The Intelligence layer for Drug Manufacturing</t>
  </si>
  <si>
    <t xml:space="preserve">Abinitio Bio builds foundation models for biomanufacturing, validated against wet lab data. Our first model, Echo, predicts manufacturing outcomes more accurately than standard models, and any pharma or CDMO can adapt it to their own workflow instantly. By making process decisions that take 6-18 months today in hours, we help teams avoid the cost of delay on a single program.</t>
  </si>
  <si>
    <t xml:space="preserve">https://www.abinitio-bio.com</t>
  </si>
  <si>
    <t xml:space="preserve">https://www.ycombinator.com/companies/abinitio-bio</t>
  </si>
  <si>
    <t xml:space="preserve">Cancer screening without barriers</t>
  </si>
  <si>
    <t xml:space="preserve">We know how to improve cancer outcomes by 8x-10x: you catch it early. MRI is the most robust and powerful cancer-detection tool in the world, yet systems cost millions to purchase, take months to install, and require high levels of technical skill to operate. We've redesigned MRI from the ground up with new physics, algorithms, and hardware, all to bring cancer screening to the entire world. Our mobile MRI is an imaging clinic on wheels. No equipment to buy, no infrastructure needed. For a flat per-scan fee, any medical site can offer MRI cancer screening. Starting with prostate cancer. Then everything else.</t>
  </si>
  <si>
    <t xml:space="preserve">Healthcare -&gt; Diagnostics</t>
  </si>
  <si>
    <t xml:space="preserve">Advanced Metal Research</t>
  </si>
  <si>
    <t xml:space="preserve">Machine intelligence for American Welding</t>
  </si>
  <si>
    <t xml:space="preserve">America does not just need more welders. It needs welding knowledge that can scale. The American Welding Society projects 320,500 new welding professionals will be needed by 2029, with about 80,000 jobs to be filled annually from 2025 to 2029. More than 157,000 current welding professionals are approaching retirement. Welders are only a small share of the skilled-trades workforce, but welding accounts for an outsized share of projected capability demand. The market calls it a labor shortage. AMR sees a learning bottleneck. We are building American-made robotic welding cells that combine computer vision to provide real-time seam tracking and post-weld inspection to turn welding from a scarce manual process into a closed-loop manufacturing system that learns from every weld as it happens.</t>
  </si>
  <si>
    <t xml:space="preserve">https://advancedmetalresearch.com/</t>
  </si>
  <si>
    <t xml:space="preserve">https://www.ycombinator.com/companies/advanced-metal-research</t>
  </si>
  <si>
    <t xml:space="preserve">Phone Numbers for AI Agents</t>
  </si>
  <si>
    <t xml:space="preserve">The $2T global telecom industry was built for humans. Agents can't act in the real world today because without a phone number, they lack identity. AgentPhone gives every AI agent its own phone number to reach people and businesses through messages and calls.</t>
  </si>
  <si>
    <t xml:space="preserve">AICE</t>
  </si>
  <si>
    <t xml:space="preserve">Submarine drones for defense</t>
  </si>
  <si>
    <t xml:space="preserve">We are building the next generation of underwater defense systems: autonomous swarms of modular marine drones to secure naval assets and coastal infrastructure against evolving underwater threats.</t>
  </si>
  <si>
    <t xml:space="preserve">https://aicepower.com</t>
  </si>
  <si>
    <t xml:space="preserve">https://www.ycombinator.com/companies/aice</t>
  </si>
  <si>
    <t xml:space="preserve">Akkari</t>
  </si>
  <si>
    <t xml:space="preserve">Autonomous Customer Operations</t>
  </si>
  <si>
    <t xml:space="preserve">Akkari runs the operational work from the first sales call through expansion. It captures and stays on top of every commitment, issue, request and opportunity across customer channels (Slack, calls, meetings, email, Discord, etc.) then drives each loop to resolution - our wedge toward building the AI execution system for companies. We are 2x YC founders who scaled OrderAhead (acquired by Square) to millions of users and BLADE to $1.2B+ in monthly trading volume.</t>
  </si>
  <si>
    <t xml:space="preserve">https://akkari.io/</t>
  </si>
  <si>
    <t xml:space="preserve">https://www.ycombinator.com/companies/akkari</t>
  </si>
  <si>
    <t xml:space="preserve">Building AI Native Customs Brokerages</t>
  </si>
  <si>
    <t xml:space="preserve">Allowance</t>
  </si>
  <si>
    <t xml:space="preserve">The spend control layer for AI agents</t>
  </si>
  <si>
    <t xml:space="preserve">Allowance lets AI agents make purchases on a user’s behalf without ever exposing your real card number. Users approve purchases directly from their iPhone with customizable controls like spending limits, merchant restrictions, and expiration windows. Once approved, Allowance generates scoped, one-time payment credentials designed specifically for that transaction. This enables AI agents to safely complete tasks like shopping, ordering food, booking reservations, or purchasing tickets while keeping humans in control of every payment.</t>
  </si>
  <si>
    <t xml:space="preserve">https://useallowance.com/</t>
  </si>
  <si>
    <t xml:space="preserve">https://www.ycombinator.com/companies/allowance</t>
  </si>
  <si>
    <t xml:space="preserve">Amboras</t>
  </si>
  <si>
    <t xml:space="preserve">AI Native Shopify</t>
  </si>
  <si>
    <t xml:space="preserve">Amboras puts your entire e-commerce on autopilot. It builds your store, continuously optimizes it, reads your analytics, and learns what converts - all autonomously. No developers. No agencies. No guessing. Today it sells to humans. Tomorrow it sells to AI agents.</t>
  </si>
  <si>
    <t xml:space="preserve">https://amboras.com</t>
  </si>
  <si>
    <t xml:space="preserve">https://www.ycombinator.com/companies/amboras</t>
  </si>
  <si>
    <t xml:space="preserve">Andco</t>
  </si>
  <si>
    <t xml:space="preserve">Agents that build personal injury cases</t>
  </si>
  <si>
    <t xml:space="preserve">Our agents retrieve and synthesize all the records law firms need to start a personal injury case. We get police reports, open insurance claims, and retrieve all the medical records and bills needed to build a case.</t>
  </si>
  <si>
    <t xml:space="preserve">http://www.useandco.com</t>
  </si>
  <si>
    <t xml:space="preserve">https://www.ycombinator.com/companies/andco</t>
  </si>
  <si>
    <t xml:space="preserve">Andustry</t>
  </si>
  <si>
    <t xml:space="preserve">http://andustry.com/</t>
  </si>
  <si>
    <t xml:space="preserve">https://www.ycombinator.com/companies/andustry</t>
  </si>
  <si>
    <t xml:space="preserve">ANORIA</t>
  </si>
  <si>
    <t xml:space="preserve">The first wearable that reads your emotions to enhance your EQ.</t>
  </si>
  <si>
    <t xml:space="preserve">We've spent decades tracking everything. Sleep. Recovery. Steps. All proxies for how we feel. Performance is 90% mental. And yet no one has built the feedback loop for our emotions. We close that loop by designing a device that understands how you feel, tells you why, and what you can do about it. Emotional intelligence becomes trainable, so you can better connect and create with those around you.</t>
  </si>
  <si>
    <t xml:space="preserve">https://www.anoria.com</t>
  </si>
  <si>
    <t xml:space="preserve">https://www.ycombinator.com/companies/anoria</t>
  </si>
  <si>
    <t xml:space="preserve">Antinuous</t>
  </si>
  <si>
    <t xml:space="preserve">Autonomous research agents for R&amp;D and applied science</t>
  </si>
  <si>
    <t xml:space="preserve">Antinuous is building autonomous research agents to help people in research, development, discovery, and knowledge work do faster, more accurate research end to end without a human in the loop. We believe humans should be able to ask a single question, and no matter how simple or complex, agents should look at the question, break it down, research the answer, test new ideas, simulate new environments, and repeat autonomously using as much or little compute as necessary elastically.</t>
  </si>
  <si>
    <t xml:space="preserve">https://www.antinuous.com/</t>
  </si>
  <si>
    <t xml:space="preserve">https://www.ycombinator.com/companies/antinuous</t>
  </si>
  <si>
    <t xml:space="preserve">Apollo Atomics, Inc.</t>
  </si>
  <si>
    <t xml:space="preserve">We make the most compact nuclear reactors</t>
  </si>
  <si>
    <t xml:space="preserve">https://apolloatomics.com/</t>
  </si>
  <si>
    <t xml:space="preserve">https://www.ycombinator.com/companies/apollo-atomics-inc</t>
  </si>
  <si>
    <t xml:space="preserve">AquaShield</t>
  </si>
  <si>
    <t xml:space="preserve">AI water leak detection for buildings</t>
  </si>
  <si>
    <t xml:space="preserve">AquaShield protects large real estate portfolios against water damage (losses of up to hundreds of millions per year).</t>
  </si>
  <si>
    <t xml:space="preserve">https://aquashieldai.com</t>
  </si>
  <si>
    <t xml:space="preserve">https://www.ycombinator.com/companies/aquashield</t>
  </si>
  <si>
    <t xml:space="preserve">Arctic Health</t>
  </si>
  <si>
    <t xml:space="preserve">AI-native credentialing and contracting for healthcare</t>
  </si>
  <si>
    <t xml:space="preserve">Arctic Health is building AI-native credentialing and contracting for healthcare organizations. We automate the full workflow, from establishing payer contracts to enrolling each provider. We collect and validate organization and provider data according to each state and payer’s requirements, and submit on the organization's behalf. We then monitor status and compliance on an ongoing basis. Tools on the market today either perform small pieces of the workflow or price out small and mid-sized organizations. We handle the process end-to-end regardless of organization type or size. Our browser automations enable AI agents to submit and monitor across hundreds of payer portals, and our system is trained by experienced industry experts who handle every edge case. Healthcare organizations get one simple platform. We handle the rest.</t>
  </si>
  <si>
    <t xml:space="preserve">https://arctic.health</t>
  </si>
  <si>
    <t xml:space="preserve">https://www.ycombinator.com/companies/arctic-health</t>
  </si>
  <si>
    <t xml:space="preserve">Arden</t>
  </si>
  <si>
    <t xml:space="preserve">AI-native internal audit firm</t>
  </si>
  <si>
    <t xml:space="preserve">Arden is the AI-native platform for internal audit and SOX teams. We build AI agents that automatically pull evidence from your stack, test controls end-to-end, and produce audit-ready workpapers in minutes instead of weeks. Internal audit is a massive but underserved market. Every public company in the US is required to do SOX testing, yet teams still run it through spreadsheets and screenshots. Arden is the engine that does this work.</t>
  </si>
  <si>
    <t xml:space="preserve">https://ardentech.ai/</t>
  </si>
  <si>
    <t xml:space="preserve">https://www.ycombinator.com/companies/arden</t>
  </si>
  <si>
    <t xml:space="preserve">Ardent</t>
  </si>
  <si>
    <t xml:space="preserve">Database sandboxes for Agents</t>
  </si>
  <si>
    <t xml:space="preserve">Clone any postgres DB regardless of size in 6s so agents can test their work</t>
  </si>
  <si>
    <t xml:space="preserve">https://tryardent.com</t>
  </si>
  <si>
    <t xml:space="preserve">https://www.ycombinator.com/companies/ardent</t>
  </si>
  <si>
    <t xml:space="preserve">Real-world sandboxes to test and train AI agents</t>
  </si>
  <si>
    <t xml:space="preserve">We build environments to test your app and agents against the real world. Deploy your code/agent into a sandbox that runs against replicas of external services (Stripe, Slack, Google Drive, etc.). Twins support the same APIs, MCP tool calls &amp; SDKs as the real software, and you can spin up thousands of instances in parallel and seed them using natural language. Run real workflows, surface edge cases, and observe how your code/agents actually behave before hitting production.</t>
  </si>
  <si>
    <t xml:space="preserve">Arlo Industries</t>
  </si>
  <si>
    <t xml:space="preserve">Track drones and missiles without radars - Accurate, Passive, Scalable</t>
  </si>
  <si>
    <t xml:space="preserve">Arlo Industries is building a network of sensors that precisely tracks stealthy drones and aerial threats better than radars. This capability does not exist yet because traditional radars are built on past war doctrines designed to protect single, centralised assets. Modern warfare, however, demands wide-area, persistent coverage that is both passive and economically scalable. By utilising a mesh architecture, Arlo Industries unlocks unprecedented asymmetric economics. The network is fundamentally built to scale: the cost of adding sensors grows linearly, but the tracking accuracy increases exponentially, delivering highly resilient, persistent coverage for a fraction of the cost of legacy systems. Deo founded Arlo Industries after spending over 6 years in the Israeli defence ecosystem, where he lived through multiple conflicts and experienced the Iron Dome and other systems in action against ICBMs and the infamous Shahed drones. Learning exactly how these defence systems could be improved after a Shahed exploded close to his apartment, he built Arlo Industries around the core philosophy that conflict should be concise &amp; precise. The people behind Arlo1 includes a PhD in drones and autonomy and military experts. Arlo Industries has actively showcased this technology directly to Ukrainian militaries on the frontlines, as well as to operators across Europe and the USA.</t>
  </si>
  <si>
    <t xml:space="preserve">https://arlo1.com/</t>
  </si>
  <si>
    <t xml:space="preserve">https://www.ycombinator.com/companies/arlo-industries</t>
  </si>
  <si>
    <t xml:space="preserve">We get your product picked by coding agents.</t>
  </si>
  <si>
    <t xml:space="preserve">Coding agents like Claude Code, Codex and Cursor now decide which tools get installed in a codebase. Armature runs the real agents inside a panel of realistic repositories, measures whether they pick you, and works with your team on the docs, SDK and content that make them choose you. We call this Agent-Led Growth (~coding agents GEO for dev tools). And once agents use your product, Armature shows you what users do with it through AI, with self-serve MCP analytics and evals that catch regressions before your users see them.</t>
  </si>
  <si>
    <t xml:space="preserve">The autonomous ERP for every manufacturer</t>
  </si>
  <si>
    <t xml:space="preserve">Arzana trains custom models on manufacturers' operational data to automate their quoting, order entry, invoicing, and other repetitive office work. We've saved our customers over $1.5M in avoided staff costs. In the future, we'll expand into shop-floor automation, sending instructions to machinery and robots to produce the orders that our office agents processed. By 2035, we aim to fully automate 10,000 American factories.</t>
  </si>
  <si>
    <t xml:space="preserve">AI recruiters for staffing agencies</t>
  </si>
  <si>
    <t xml:space="preserve">Asendia AI replaces the top-of-funnel recruiter. Our AI agents clone each agency's best human recruiter: their knowledge base, screening logic, outreach style, and judgment, then run the full workflow across phone, SMS, WhatsApp, and email, 24/7. A req comes in; by the time a recruiter sits down, Asendia has already sourced, screened, and drafted submittals. Staffing is a $200B+ industry where speed is the entire margin.</t>
  </si>
  <si>
    <t xml:space="preserve">Aseon Labs</t>
  </si>
  <si>
    <t xml:space="preserve">Robotic pitstops for self-driving cars</t>
  </si>
  <si>
    <t xml:space="preserve">Aseon Labs builds robotic pitstops for self-driving cars. Autonomous vehicles can drive themselves, but they still rely on humans and centralized depots for charging, cleaning and servicing multiple times per day. As fleets scale, the operational layer makes up 70% of the cost of the service and is of the largest barrier to uptime, profitability and market expansion. Aseon Pods are robotic micro-depots that can be deployed directly within operating zones, bringing fleet servicing to where demand exists. By eliminating unnecessary depot trips and automating routine operations, Aseon helps autonomous fleet operators increase uptime, reduce reset cost by 50% and unlock scale. Founded by the team behind Pushme, which deployed 5,000 mobility infrastructure locations across 40 cities before its acquisition by TIER-Dott, Aseon is funded and building product in Redwood City for pilot deployment with major autonomous vehicle operators.</t>
  </si>
  <si>
    <t xml:space="preserve">https://www.aseonlabs.com/</t>
  </si>
  <si>
    <t xml:space="preserve">https://www.ycombinator.com/companies/aseon-labs</t>
  </si>
  <si>
    <t xml:space="preserve">Aster</t>
  </si>
  <si>
    <t xml:space="preserve">Automating open-ended research.</t>
  </si>
  <si>
    <t xml:space="preserve">Aster is the first autonomous research lab — thousands of AI research agents orchestrated in parallel toward a single goal. We're on a mission to automate open-ended research: research that defines its own problems before it can answer them. The future doesn't wait to be defined by benchmarks. Neither do we.</t>
  </si>
  <si>
    <t xml:space="preserve">https://www.asterlab.ai/</t>
  </si>
  <si>
    <t xml:space="preserve">https://www.ycombinator.com/companies/asterlab</t>
  </si>
  <si>
    <t xml:space="preserve">Astraea</t>
  </si>
  <si>
    <t xml:space="preserve">AI Operating System for Clinical Development</t>
  </si>
  <si>
    <t xml:space="preserve">Astraea automates clinical trial biometrics from raw study inputs to FDA-ready outputs. The platform handles data normalization, CDISC mapping, SDTM, ADaM, TFLs, QC, and revision workflows in one auditable system, helping Phase II/III sponsors reduce months of manual programming and data management into automated, reviewable execution.</t>
  </si>
  <si>
    <t xml:space="preserve">https://tryastraea.com</t>
  </si>
  <si>
    <t xml:space="preserve">https://www.ycombinator.com/companies/astraea</t>
  </si>
  <si>
    <t xml:space="preserve">AI Agents for Analog Circuit Design</t>
  </si>
  <si>
    <t xml:space="preserve">AI Agents to build, debug and automate analog circuit design</t>
  </si>
  <si>
    <t xml:space="preserve">Autostep</t>
  </si>
  <si>
    <t xml:space="preserve">The P&amp;L for knowledge work</t>
  </si>
  <si>
    <t xml:space="preserve">Autostep maps how work happens across a company for humans and agents, finds repetitive tasks and bottlenecks, and ranks them by cost and impact. Then it fixes them by building agents inside existing tools, changing the process, or finding the right software.</t>
  </si>
  <si>
    <t xml:space="preserve">https://autostep.ai/</t>
  </si>
  <si>
    <t xml:space="preserve">https://www.ycombinator.com/companies/autostep</t>
  </si>
  <si>
    <t xml:space="preserve">Auxos</t>
  </si>
  <si>
    <t xml:space="preserve">Simulations of real people for market research</t>
  </si>
  <si>
    <t xml:space="preserve">Auxos builds AI customer twins for marketing, product, and research teams to test their hypotheses at scale. We work with companies to create 1:1 replicas of their customers by sourcing and interviewing real people in their ICP, allowing us to accurately model how they behave and make decisions. Currently, market research is too slow and expensive to use on anything but the biggest decisions. Surveys and panels cost a fortune and it takes weeks to recruit, moderate, and gather insights. Auxos provides a 24/7 available customer panel that can give population-scale insights in minutes. The day-to-day decisions surrounding product, pricing, and positioning can now be validated with the same rigor that used to be reserved for the big ones.</t>
  </si>
  <si>
    <t xml:space="preserve">https://www.useauxos.com</t>
  </si>
  <si>
    <t xml:space="preserve">https://www.ycombinator.com/companies/auxos</t>
  </si>
  <si>
    <t xml:space="preserve">Avea Robotics</t>
  </si>
  <si>
    <t xml:space="preserve">The human-in-the-loop system for robots</t>
  </si>
  <si>
    <t xml:space="preserve">We built the fastest software to control robots from anywhere in the world. We make it possible for robotics companies to keep their robots at 100% uptime, and intervene instantly when a failure occurs.</t>
  </si>
  <si>
    <t xml:space="preserve">https://www.avearobotics.com</t>
  </si>
  <si>
    <t xml:space="preserve">https://www.ycombinator.com/companies/avea-robotics</t>
  </si>
  <si>
    <t xml:space="preserve">Monitoring and learning layer for long-running agents</t>
  </si>
  <si>
    <t xml:space="preserve">BentoLabs is the monitoring and learning layer for long-running agents. We detect when agents silently fail or drift from the user's goal, system prompt, or tool contracts, show affected users and root cause, and suggest the prompt, skill, or harness fix. As more teams deploy agents, keeping them reliable in production becomes mission-critical. Bento sits directly in the production loop and gives teams the operational leverage required to scale agent ecosystems without scaling human firefighting alongside them. The result is a system that turns opaque agents into agents that can be monitored, debugged, and improved continuously. The founders learned this problem at Emergent (YC S24), where they built and operated production coding agents used by 5M+ users. Abhinav was hire #1 and helped Emergent hit SWE-Bench #1 and scale from $0 to $100M ARR in just 8 months. Kaushik was hire #2, led full-stack engineering at Emergent, and was key to building the infrastructure that made production agents reliable, observable, and debuggable. Bento's self-learning engine has also lifted ARC-AGI-3 (internal) by 2.6x and Terminal-Bench 2.0 (internal) from 42.2% to 52.4% pass@1 with the same model, tools, and budget.</t>
  </si>
  <si>
    <t xml:space="preserve">BioStack Platforms</t>
  </si>
  <si>
    <t xml:space="preserve">Real world training envs for healthcare AI models</t>
  </si>
  <si>
    <t xml:space="preserve">BioStack is building the data engine for healthcare and drug discovery AI. The bottleneck is not models. It is access to high-quality biological data. Clinical and experimental data is fragmented, unstructured, and locked inside hospitals, labs, and CROs, while generating new data is slow and expensive. BioStack fixes this with proprietary clinical and preclinical data pipelines that turn real biomedical workflows into ML-ready training environments. We structure longitudinal multimodal data across imaging, EHR, and experimental assays, then package it for post-training and reinforcement learning so models can learn how research and care actually happen. Instead of static datasets, BioStack gives AI labs workflow-aligned data and environments that improve reasoning, decision-making, and real-world performance in biology and medicine.</t>
  </si>
  <si>
    <t xml:space="preserve">https://www.getbiostack.com/</t>
  </si>
  <si>
    <t xml:space="preserve">https://www.ycombinator.com/companies/biostack-platforms</t>
  </si>
  <si>
    <t xml:space="preserve">Bloom</t>
  </si>
  <si>
    <t xml:space="preserve">The brand layer for agents.</t>
  </si>
  <si>
    <t xml:space="preserve">Bloom is the brand layer for agents. It turns a brand’s identity, guidance, and assets into shared context that agents and products can use. That context evolves with the brand, alongside the tools where it is created and managed. Starting with websites, social media, and files, Bloom develops and maintains versioned brand context. Through MCP or the API, connected agents and products can retrieve and update that context, then apply it to images, websites, slides, video, copy, and other brand work. We’re an ai infra company making brand as operable as software.</t>
  </si>
  <si>
    <t xml:space="preserve">https://trybloom.ai</t>
  </si>
  <si>
    <t xml:space="preserve">https://www.ycombinator.com/companies/trybloom</t>
  </si>
  <si>
    <t xml:space="preserve">AI voice agents for on-prem telephony stack.</t>
  </si>
  <si>
    <t xml:space="preserve">58% of the $400B call center industry runs on on-prem phone systems, and until now bringing AI voice automation to them meant ripping out their entire infrastructure first. That's the largest unserved segment in the market. Callab AI connects directly to legacy PBX systems like Avaya, Cisco UCM, and Mitel, and automates up to 70% of call volume with zero migration needed. We plug into these environments without requiring a rip-and-replace. We serve clients across three continents, including brands like Dunkin Donuts.</t>
  </si>
  <si>
    <t xml:space="preserve">CentralComs</t>
  </si>
  <si>
    <t xml:space="preserve">AI agent platform for home services companies.</t>
  </si>
  <si>
    <t xml:space="preserve">Home services companies lose money on missed calls and idle techs. When the phone rings during a job and nobody picks up, that lead goes to a competitor and the trucks already on the road sit half-booked because dispatch can't keep the schedule tight. CentralComs fixes this with AI agents that answer every call, route each job to the right technician, and keep the calendar full. They handle intake, dispatch, and customer updates end to end working inside ServiceTitan, Housecall Pro, and Jobber so no lead slips through and no truck runs empty. Capture every call. Book every tech. Never miss a job.</t>
  </si>
  <si>
    <t xml:space="preserve">https://centralcoms.com</t>
  </si>
  <si>
    <t xml:space="preserve">https://www.ycombinator.com/companies/centralcoms</t>
  </si>
  <si>
    <t xml:space="preserve">CharacterQuilt</t>
  </si>
  <si>
    <t xml:space="preserve">Computer use agents to deploy enterprise marketing campaigns</t>
  </si>
  <si>
    <t xml:space="preserve">CharacterQuilt builds computer use agents to deploy enterprise marketing campaigns. Marketers today don’t actually do much marketing at all. Today, over 80% of time spent on launching a marketing campaign is actually ops work: tweaking automation flows in Pardot, configuring audiences in LinkedIn, or wiring HTML emails in Marketo. What’s crazy about enterprise marketing is companies pay agencies millions of dollars just to deploy campaigns in their systems — and they still have to wait weeks for each one. CharacterQuilt is AI infrastructure for marketing teams: a brain that learns your brand, and agents that operate your existing tools. Marketing campaigns that used to take 3 agencies, 10 tools, and 6 weeks are now being built, designed, and deployed from CQ in an hour. Customers submit a brief like they would send to a human teammate or marketing agency, and they get back fully designed and deployed campaigns. Teams like 1upHealth, ABC Fitness, and Emplifi use us to: 1-) Build segments/audiences faster 2-) Create on-brand creative (AI is terrible at staying on-brand) 3-) Deploy campaigns automatically into HubSpot, WordPress, LinkedIn etc. We replicate your brand guidelines, deeply understand past campaigns, and work inside your systems. If you run demand gen or lifecycle at a B2B/B2C company and want to ship campaigns faster, send us a brief and we’ll build it in 15 minutes.</t>
  </si>
  <si>
    <t xml:space="preserve">https://characterquilt.com</t>
  </si>
  <si>
    <t xml:space="preserve">https://www.ycombinator.com/companies/characterquilt</t>
  </si>
  <si>
    <t xml:space="preserve">Chert</t>
  </si>
  <si>
    <t xml:space="preserve">iMessage infrastructure for business</t>
  </si>
  <si>
    <t xml:space="preserve">Chert provides the infrastructure for businesses to automate conversations over iMessage. We’re already working with B2C startups, customer experience teams, and sales teams to reach end users through trusted and conversational messaging.</t>
  </si>
  <si>
    <t xml:space="preserve">https://www.trychert.com/</t>
  </si>
  <si>
    <t xml:space="preserve">https://www.ycombinator.com/companies/chert</t>
  </si>
  <si>
    <t xml:space="preserve">Chronicle Labs</t>
  </si>
  <si>
    <t xml:space="preserve">Staging Environments for Enterprise AI Agents</t>
  </si>
  <si>
    <t xml:space="preserve">Chronicle Labs is a staging environment for enterprise AI agents: we capture every event the agent sees in production and backtest it, so customers can safely test new behaviors without breaking anything.</t>
  </si>
  <si>
    <t xml:space="preserve">https://chronicle-labs.com</t>
  </si>
  <si>
    <t xml:space="preserve">https://www.ycombinator.com/companies/chronicle-labs</t>
  </si>
  <si>
    <t xml:space="preserve">AI Customer Support for Fortune 500-scale enterprises</t>
  </si>
  <si>
    <t xml:space="preserve">Cignara automates the entire revenue cycle - sales and support - across voice and chat - for Fortune 500-scale companies. Companies like LG love us because of our ability to take personalized, agentic actions within their legacy IT systems, in a way that actively drives revenue increases (not just delivers CSAT).</t>
  </si>
  <si>
    <t xml:space="preserve">Clara</t>
  </si>
  <si>
    <t xml:space="preserve">AI primary care doctor</t>
  </si>
  <si>
    <t xml:space="preserve">Clara is an AI primary care and longevity practice from the team that founded and grew Circle Medical to $100M in revenue. Our mission at Clara is to add one billion years of healthspan to humanity. We do this with an AI with deep clinical knowledge, coupled with the ability to sift through medical data to detect trends and patterns that could be missed. Unlike Claude or ChatGPT, Clara can see your medical data and then act. Chat with Clara as you would a doctor and Clara can help with you make sense of symptoms, get medication refills, order and understand labs, and achieve health goals. Medical recommendations are preliminary until one of our human medical providers in the loop reviews and approves them.</t>
  </si>
  <si>
    <t xml:space="preserve">http://askclara.com</t>
  </si>
  <si>
    <t xml:space="preserve">https://www.ycombinator.com/companies/clara-2</t>
  </si>
  <si>
    <t xml:space="preserve">Clawvisor</t>
  </si>
  <si>
    <t xml:space="preserve">The Authorization Layer for AI Agents</t>
  </si>
  <si>
    <t xml:space="preserve">Clawvisor lets AI agents use apps like Gmail, Slack, and Google Drive without going rogue or ever seeing your credentials. You approve tasks once. Clawvisor enforces them on every request.</t>
  </si>
  <si>
    <t xml:space="preserve">https://clawvisor.com</t>
  </si>
  <si>
    <t xml:space="preserve">https://www.ycombinator.com/companies/clawvisor</t>
  </si>
  <si>
    <t xml:space="preserve">Cohesion</t>
  </si>
  <si>
    <t xml:space="preserve">Modern Intelligence for Finance</t>
  </si>
  <si>
    <t xml:space="preserve">Cohesion is building the modern system of intelligence for financial analysts. Cohesion believes that the way financial research is done is changing. Teams that leverage AI better understand their research, can cover more scope, and make better decisions.</t>
  </si>
  <si>
    <t xml:space="preserve">https://cohesionplatform.com/</t>
  </si>
  <si>
    <t xml:space="preserve">https://www.ycombinator.com/companies/cohesion</t>
  </si>
  <si>
    <t xml:space="preserve">Vanta for physical products</t>
  </si>
  <si>
    <t xml:space="preserve">AI-powered product compliance platform that makes it easy for retailers to launch and scale products across borders without drowning in regulatory work. Complir's AI agents handle the regulations and documentation across every market you sell in - and keep your entire catalogue audit-ready.</t>
  </si>
  <si>
    <t xml:space="preserve">AI Scheduling for Short Haul Trucks</t>
  </si>
  <si>
    <t xml:space="preserve">Dayjob does AI Scheduling for Short Haul Trucks. Our scheduling agent plugs into existing ERPs and continuously re-optimises routes in real time - handling new jobs, driver changes, and exceptions automatically. Customers in waste management see 8%+ efficiency gains from day one.</t>
  </si>
  <si>
    <t xml:space="preserve">Deep Interactions</t>
  </si>
  <si>
    <t xml:space="preserve">Collaborative AI app builder for teams</t>
  </si>
  <si>
    <t xml:space="preserve">Deep Interactions is a collaborative AI builder. We don't leave you with a spaghetti mess of a code. We bring product intelligence and power the context layer that enables your team to build in sync - saving companies tokens, time, and nerves. You give us a problem and we ship a working AI product in the same afternoon.</t>
  </si>
  <si>
    <t xml:space="preserve">https://deepinteractions.ai/</t>
  </si>
  <si>
    <t xml:space="preserve">https://www.ycombinator.com/companies/deep-interactions</t>
  </si>
  <si>
    <t xml:space="preserve">AI scientists to discover materials for the semiconductor industry.</t>
  </si>
  <si>
    <t xml:space="preserve">We use AI to discover new materials for the semiconductor industry - specifically datacenters and fabs. Finding novel materials today takes 10+ years of lab work. We aim to compress that timeline to months, using a swarm of AI agents. Akash completed his PhD at Stanford on material discovery for semiconductors. The materials he discovered for nanoscale interconnects have been adopted into the roadmaps of Intel and TSMC. Advaith was the founding applied scientist at Persona AI (acquired by Luma Labs), where he built long horizon autonomous agents for major telecom and crypto companies. Power consumption and heat release from AI chips is doubling every year. The semiconductor industry needs new materials to keep this exponential going - Discovered Materials will help find them.</t>
  </si>
  <si>
    <t xml:space="preserve">Satellites for Manufacturing in Space</t>
  </si>
  <si>
    <t xml:space="preserve">Dispatch is building refurbishable reentry vehicles that host and return payloads for companies making ultra-high-value materials (semiconductors, biotech, and pharma) that can only be manufactured in space. Right now, these companies have no practical way to manufacture and get their products back to Earth. We solve this bottleneck. We just returned from the Mojave Desert testing our first full-scale reentry heat shield designed to protect the satellite as it returns from space at Mach 20+, built in an apartment for 100x cheaper than competitors. To test, we held it behind a rocket engine to simulate the forces of atmospheric reentry. IT WORKED! Watch here - https://youtu.be/dhlQmnIoptg To scale, we anchor permanent infrastructure in orbit - building high power Autonomous Space Stations designed from day one for "lights-out" manufacturing serviced by the reentry vehicles.</t>
  </si>
  <si>
    <t xml:space="preserve">Drafted</t>
  </si>
  <si>
    <t xml:space="preserve">Design your home instantly with AI</t>
  </si>
  <si>
    <t xml:space="preserve">Drafted is building multimodal generative models for residential architecture and spatial design. The product allows users to design homes by combining sketches and direct spatial input to generate coherent floor plans and elevations that can be explored in both 2D and 3D. Users can define footprints, lot boundaries, room placement, relationships, room programs, and square footage constraints that persist across generations and iterative design exploration, then export CAD, PDF, and other files into the rest of the home design and construction process. More info on the company: ⁃ In the past month, we've had 120k users come to the site, generating 325k+ floor plans through socials and word-of-mouth. ⁃ A team of 9, made up of researchers from Stanford, Autodesk, Brown, Adobe, and Architects from WeWork, Atmos, and design families ⁃ Raised $17.5M from investors such as Buckley Ventures (Josh Buckley), YC (Aaron Epstein), Patrick Collison, Evan Moore, Convective Capital (Bill Clerico), Ben Silbermann, Jack Altman, Samsung, Starship Ventures, Charlie Songhurst, Ryan Tedder, Moses Moody, Alex Blania, and Kevin Mahaffey</t>
  </si>
  <si>
    <t xml:space="preserve">https://www.drafted.ai/</t>
  </si>
  <si>
    <t xml:space="preserve">https://www.ycombinator.com/companies/drafted</t>
  </si>
  <si>
    <t xml:space="preserve">Dreach</t>
  </si>
  <si>
    <t xml:space="preserve">staffing firms with dreach grow revenue faster.</t>
  </si>
  <si>
    <t xml:space="preserve">dreach watches your ATS and your network. when someone starts hiring, you get the manager who owns the role and your warmest way in.</t>
  </si>
  <si>
    <t xml:space="preserve">https://dreach.ai</t>
  </si>
  <si>
    <t xml:space="preserve">https://www.ycombinator.com/companies/dreach</t>
  </si>
  <si>
    <t xml:space="preserve">Camera-free AI glasses. Your AI, out in the world.</t>
  </si>
  <si>
    <t xml:space="preserve">E1O (E1 Optics) is building camera-free AI glasses with a private display and a personal assistant. Follow your coding agents, catch up on email, and bring useful information into view. Connected to the E1O app on your phone. Join the early-access waitlist at e1o.com.</t>
  </si>
  <si>
    <t xml:space="preserve">Eden Robotics</t>
  </si>
  <si>
    <t xml:space="preserve">Autonomous services for humanity.</t>
  </si>
  <si>
    <t xml:space="preserve">We're building robots that just work and use them to deliver autonomous services at scale. Our first use case is semi-humanoid robots for manufacturing and logistics. Unlike traditional robotics companies, we don't sell robots, we provide physical agents for hire where companies pay for the robots based on usage, decreasing the barrier to entry and expanding the robotics market as a whole.</t>
  </si>
  <si>
    <t xml:space="preserve">https://www.edenrobotics.ai</t>
  </si>
  <si>
    <t xml:space="preserve">https://www.ycombinator.com/companies/eden-robotics</t>
  </si>
  <si>
    <t xml:space="preserve">AI Reservation System for Restaurants</t>
  </si>
  <si>
    <t xml:space="preserve">Elyra is an AI reservation system for restaurants. Instead of missing 40% of incoming phone calls and taking days to reply to emails, leaving over $100,000 in bookings on the table every year, restaurants get AI agents that answer every call and email instantly, 24/7, connected to a reservation system that optimizes table placements in real time so empty seats get filled with the right guests. Felix and Alan met in primary school in Stockholm and have been building things together ever since. We launched with a single restaurant and within weeks they hit record occupancy, bookings they used to miss were suddenly being captured automatically, and empty Tuesday nights started filling up. Today we power top restaurants groups. There are over 1 million restaurants in the US and Europe alone. The average restaurant loses $100K+ a year to missed calls and slow email replies. At our current pricing, that's a $10B+ market opportunity, and we're the only system that handles the call, the email, and the table allocation in one place.</t>
  </si>
  <si>
    <t xml:space="preserve">Enjamb Labs</t>
  </si>
  <si>
    <t xml:space="preserve">The AI Workforce for Biopharma</t>
  </si>
  <si>
    <t xml:space="preserve">We've worked with 130 life science companies, preclinical through phase 3, to deploy AI securely inside the systems they already work in. Pharma runs on decades of closed software like Benchling, Veeva, Medidata, and SAS. None of it has an AI layer or speaks MCP, so agents cannot reach the systems where the work lives. Enjamb is that layer. Our agents run on top of existing systems and data, with no migration, and they reach the lab systems and internal tools no other AI touches. They learn how a team works, then do the work in Slack, in Teams, and in the systems themselves, across preclinical research, clinical evidence, trial design, statistical programming, and regulatory submissions. This is AI tailored for how medicine gets made.</t>
  </si>
  <si>
    <t xml:space="preserve">https://www.enjamb.ai</t>
  </si>
  <si>
    <t xml:space="preserve">https://www.ycombinator.com/companies/enjamb-labs</t>
  </si>
  <si>
    <t xml:space="preserve">Unlock wasted GPU capacity.</t>
  </si>
  <si>
    <t xml:space="preserve">Expanse unlocks wasted GPU capacity. We recover idle compute through three capabilities: resource prediction (right-sizing job submissions before they reach the scheduler), optimisation suggestions (code and config changes researchers can apply themselves), and failure prediction (catching jobs that will fail before they consume hours of GPU time). We’re four engineers. We ran HPC and GPU training workloads at the largest quant funds and national supercomputing centres. We faced this problem first hand and the only fix was to over-provision and burn millions. Ismaeel built the first multimodal HPC resource predictor as research at EPCC (Edinburgh’s Parallel Computing Centre), which beat every published baseline. This is the tool we wish we had.</t>
  </si>
  <si>
    <t xml:space="preserve">FinalDose</t>
  </si>
  <si>
    <t xml:space="preserve">Programmable DNA drug destroying all cancers, unlocking 80% of targets</t>
  </si>
  <si>
    <t xml:space="preserve">FinalDose is building the first programmable drug - a single smart drug molecule that you can insert any diseased genetic code and it can search and destroy cells upon DNA recognition. Unlocking 80% of undruggable targets today. Starting with all cancers.</t>
  </si>
  <si>
    <t xml:space="preserve">Oxford, England, United Kingdom</t>
  </si>
  <si>
    <t xml:space="preserve">Healthcare -&gt; Therapeutics</t>
  </si>
  <si>
    <t xml:space="preserve">https://finaldose.ai/</t>
  </si>
  <si>
    <t xml:space="preserve">https://www.ycombinator.com/companies/finaldose</t>
  </si>
  <si>
    <t xml:space="preserve">flowscope</t>
  </si>
  <si>
    <t xml:space="preserve">AI implementation firm that maps and automates business processes</t>
  </si>
  <si>
    <t xml:space="preserve">flowscope is an AI implementation firm that deploys agents to map, optimize, and automate companies’ processes end to end</t>
  </si>
  <si>
    <t xml:space="preserve">https://flowscope.com</t>
  </si>
  <si>
    <t xml:space="preserve">https://www.ycombinator.com/companies/flowscope</t>
  </si>
  <si>
    <t xml:space="preserve">Foaster</t>
  </si>
  <si>
    <t xml:space="preserve">The AI-native McKinsey</t>
  </si>
  <si>
    <t xml:space="preserve">Foaster is building the AI-native McKinsey, starting with AI transformation. We deploy AI agents that interview a company's employees at scale, map how work actually gets done, identify bottlenecks and AI opportunities, and draft a transformation roadmap in just 2 weeks. Expert consultants review the final outputs, add judgment where it matters, and feed their corrections back into the system. We believe current AI models already have the capabilities required to automate most of the work consultants do. But traditional consulting firms use them to improve the old model: helping consultants work faster. Foaster is instead rebuilding a new model from scratch, where agents do the work that needs scale and humans review the final outputs, bring expertise, and improve the system overtime. We are starting with AI transformation, then progressively expanding to more and more consulting projects using the same approach. Every mission creates structured knowledge from interviews, workflow maps, recommendations, and expert corrections, so the system gets better with every client engagement. The $500B consulting market will eventually be run by our AI agents and a small number of expert humans.</t>
  </si>
  <si>
    <t xml:space="preserve">https://foaster.ai</t>
  </si>
  <si>
    <t xml:space="preserve">https://www.ycombinator.com/companies/foaster</t>
  </si>
  <si>
    <t xml:space="preserve">Consumer simulations for CPG market research</t>
  </si>
  <si>
    <t xml:space="preserve">Foresight builds AI-powered simulations of human behavior to help companies predict how people will think, react, and choose before making real-world decisions. It lets organizations test countless possible moves in advance, see how each one is likely to play out, and choose the strongest path forward.</t>
  </si>
  <si>
    <t xml:space="preserve">Framewise Health</t>
  </si>
  <si>
    <t xml:space="preserve">AI-native patient engagement</t>
  </si>
  <si>
    <t xml:space="preserve">We turn medical records into personalized videos walking patients through onboarding, adherence, and recovery. The engagement data we collect builds our AI-native patient engagement platform for pharma, hospitals, medical devices, and private clinics, so they can stop chasing the patient and spend more time caring for them.</t>
  </si>
  <si>
    <t xml:space="preserve">https://framewisehealth.com</t>
  </si>
  <si>
    <t xml:space="preserve">https://www.ycombinator.com/companies/framewise-health</t>
  </si>
  <si>
    <t xml:space="preserve">Fuchsia</t>
  </si>
  <si>
    <t xml:space="preserve">Vanta for hardware</t>
  </si>
  <si>
    <t xml:space="preserve">Fuchsia handles hardware certification and testing so great products can get to markets faster. AI agents keep our work accurate, timely, and fully traceable for every stakeholder.</t>
  </si>
  <si>
    <t xml:space="preserve">https://getfuchsia.ai/</t>
  </si>
  <si>
    <t xml:space="preserve">https://www.ycombinator.com/companies/fuchsia</t>
  </si>
  <si>
    <t xml:space="preserve">GBrain</t>
  </si>
  <si>
    <t xml:space="preserve">A personal or team assistant that works while you sleep</t>
  </si>
  <si>
    <t xml:space="preserve">Like ChatGPT or Claude, but it runs in the cloud, remembers everything you give it, and comes loaded with skills. Hand it a job tonight and read the answer in the morning. Use it on your own, or with your whole team.</t>
  </si>
  <si>
    <t xml:space="preserve">https://gbrain.io</t>
  </si>
  <si>
    <t xml:space="preserve">https://www.ycombinator.com/companies/gbrain</t>
  </si>
  <si>
    <t xml:space="preserve">Fixing air traffic control with remote towers</t>
  </si>
  <si>
    <t xml:space="preserve">Building the elements of a new ATC system.</t>
  </si>
  <si>
    <t xml:space="preserve">General Instinct</t>
  </si>
  <si>
    <t xml:space="preserve">Deployment infrastructure for Physical AI</t>
  </si>
  <si>
    <t xml:space="preserve">Making robot post-training and deployment scalable.</t>
  </si>
  <si>
    <t xml:space="preserve">https://general-instinct.com/</t>
  </si>
  <si>
    <t xml:space="preserve">https://www.ycombinator.com/companies/general-instinct</t>
  </si>
  <si>
    <t xml:space="preserve">Gojiberry AI</t>
  </si>
  <si>
    <t xml:space="preserve">AI Go-To-Market agents for B2B teams</t>
  </si>
  <si>
    <t xml:space="preserve">Gojiberry is building the AI GTM team for B2B companies. We start with outbound: Gojiberry finds buyers showing intent, enriches them, reaches out, follows up, handles replies, and books qualified meetings. Companies use Gojiberry to replace the old way of doing outbound: buying tools, hiring SDRs &amp; agencies, testing lists, writing messages, and guessing what works. Gojiberry turns it into one AI team that finds buyers and books meetings. Every campaign makes Gojiberry smarter. It learns which buyers convert, which signals matter, which messages get replies, and which actions create revenue. Over time, Gojiberry uses what works across similar companies and industries to help every new customer get better results from day one. Long term, Gojiberry will become the system that finds every revenue opportunity and acts on it: outbound leads, website visitors, inbound leads, old CRM leads, replies, meetings, CRM updates, new campaign ideas, and account expansion. The goal is to make every B2B company able to run a high-performing GTM team without hiring one. We grew from $0 to $2.5M ARR in 10 months, are growing 30% MoM, profitable, and used by 2,000+ customers. Customers get 2-5x more positive replies than traditional outbound.</t>
  </si>
  <si>
    <t xml:space="preserve">https://www.gojiberry.ai</t>
  </si>
  <si>
    <t xml:space="preserve">https://www.ycombinator.com/companies/gojiberry-ai</t>
  </si>
  <si>
    <t xml:space="preserve">Automating Government Workflows, starting with FOIA</t>
  </si>
  <si>
    <t xml:space="preserve">GovGuard is building AI agents that automate government workflows, starting with FOIA requests. Today, public records teams still spend hours searching for responsive records and applying redactions. Many offices still redact sensitive information line by line with a sharpie. Local governments spend billions processing these requests, and if a city misses a legal deadline, it can be sued for failing to comply with public records law.</t>
  </si>
  <si>
    <t xml:space="preserve">Gravy</t>
  </si>
  <si>
    <t xml:space="preserve">Agents that move money, trade stocks, and file taxes.</t>
  </si>
  <si>
    <t xml:space="preserve">https://gravy.finance</t>
  </si>
  <si>
    <t xml:space="preserve">https://www.ycombinator.com/companies/gravy</t>
  </si>
  <si>
    <t xml:space="preserve">AI-native CRO for clinical trial operations</t>
  </si>
  <si>
    <t xml:space="preserve">Harbor is building an AI-native contract research organization (CRO) for clinical trials. We started with an AI-native system of record for clinical trial data (electronic data capture system), grew the software business to seven trials and ~$187k in contracted software revenue over the next twelve months, then expanded into full-service trial execution and signed our first CRO contract worth $1.93M over three years. Clinical trials consume 45% of all new drug and device development spend. While some of that goes to software, sites, and patients, the largest line items are services: project management, monitoring, data management, site coordination, source verification, query resolution, record reconciliation, and analysis. Today, drug and device companies outsource clinical operations to legacy CROs and their massive teams, which is why the CRO market is $82B annually. Harbor delivers the regulated services companies buy from legacy CROs, but built around our AI-native system of record from day one. Our software already automates the core data workflows: study build, data capture, query generation, monitoring, signing, and database lock. Because we own the system of record, we can expand into the surrounding service workflows: site contracting and billing, subject engagement and retention, statistics, reporting, and more. We built Harbor because we lived through the problem. Albert spent four years in clinical trials and regulatory strategy at a medical device startup, taking an unproven wearable from first-in-human trials to FDA authorization. Nate brings the technical depth, having built scalable software at Google and Ramp and served as employee #1 at a previous YC startup.</t>
  </si>
  <si>
    <t xml:space="preserve">Hedge</t>
  </si>
  <si>
    <t xml:space="preserve">AI-Native insurance company</t>
  </si>
  <si>
    <t xml:space="preserve">Hedge is an AI-Native specialty insurance company. We help insurance brokers find faster, cheaper, and better coverage for their customers.</t>
  </si>
  <si>
    <t xml:space="preserve">https://www.hedgespecialty.com/</t>
  </si>
  <si>
    <t xml:space="preserve">https://www.ycombinator.com/companies/hedge</t>
  </si>
  <si>
    <t xml:space="preserve">Hessian</t>
  </si>
  <si>
    <t xml:space="preserve">Forward-deployed AI Agents</t>
  </si>
  <si>
    <t xml:space="preserve">Hessian is the platform for automating business operations with AI agents. We forward deploy on-site to map the work, and build the agents on our platform to run it end-to-end. Unlike off-the-shelf tools that don't know your business, you get a partner that owns the software and operates it every day. Why now? Coding agents have matured to the point where, combined with our engineering judgment we've built across a decade of shipping production systems, we can scale forward-deployed engagements with minimal headcount. Furthermore, our FDE agents and tooling will accelerate how quickly we automate workflows on our platform. We're already saving our customers hundreds of hours a month. Trillions of dollars a year are spent on knowledge work, and we're building the standard for how every company deploys, operates, and governs the AI agents that do it.</t>
  </si>
  <si>
    <t xml:space="preserve">https://hessian.sh</t>
  </si>
  <si>
    <t xml:space="preserve">https://www.ycombinator.com/companies/hessian</t>
  </si>
  <si>
    <t xml:space="preserve">HEVN is a B2B financial platform built for global commerce. We solve the last-mile problem in cross-border payments by working with licensed local payment service providers and settling transactions through domestic payment rails instead of relying on international bank transfers. HEVN helps importers and exporters move money between jurisdictions with fewer intermediaries and faster, more predictable settlement.</t>
  </si>
  <si>
    <t xml:space="preserve">Hexa</t>
  </si>
  <si>
    <t xml:space="preserve">Autonomous operations for industrial distributors</t>
  </si>
  <si>
    <t xml:space="preserve">Hexa helps industrial distributors automate their sales and procurement workflows to quote faster and win more bids.</t>
  </si>
  <si>
    <t xml:space="preserve">https://www.hexaagents.com</t>
  </si>
  <si>
    <t xml:space="preserve">https://www.ycombinator.com/companies/hexa</t>
  </si>
  <si>
    <t xml:space="preserve">HeyClicky</t>
  </si>
  <si>
    <t xml:space="preserve">The simplest interface in the world to talk AI models + spawn agents</t>
  </si>
  <si>
    <t xml:space="preserve">HeyClicky sits right next to your cursor and sees everything you see. ask a question out loud and it walks you through whatever you're working on. Or say “HeyClicky Agent” and it'll spin up an agent to build, research, or do whatever for you in the background.</t>
  </si>
  <si>
    <t xml:space="preserve">https://heyclicky.com/</t>
  </si>
  <si>
    <t xml:space="preserve">https://www.ycombinator.com/companies/heyclicky</t>
  </si>
  <si>
    <t xml:space="preserve">Hub</t>
  </si>
  <si>
    <t xml:space="preserve">Real-world training data for frontier AI labs and robotics.</t>
  </si>
  <si>
    <t xml:space="preserve">Hub is a multimodal lab providing real world data to frontier labs and robotic companies.</t>
  </si>
  <si>
    <t xml:space="preserve">https://hub.xyz</t>
  </si>
  <si>
    <t xml:space="preserve">https://www.ycombinator.com/companies/hub</t>
  </si>
  <si>
    <t xml:space="preserve">Human experts as API for AI Agents</t>
  </si>
  <si>
    <t xml:space="preserve">Humwork lets AI agents chat with human experts in real-time. When AI agents like Claude Code or OpenClaw hit a wall, Humwork's MCP server connects them to a verified domain expert in under 30 seconds. Our experts include senior engineers, lawyers, marketers, designers, and more.</t>
  </si>
  <si>
    <t xml:space="preserve">Huscarl</t>
  </si>
  <si>
    <t xml:space="preserve">AI-native actuary enabling self-insurance for corporations</t>
  </si>
  <si>
    <t xml:space="preserve">Huscarl is building an autonomous AI actuary to enable self-insurance for corporations. Large companies use insurance subsidiaries ("captives") to self-insure their risks. Some of these captives are larger than regional insurers. We provide them the actuarial and modeling layer to operate and grow. We're building a future where self-insurance is the default, and commercial insurance the exception. This is the best way to solve the inefficiencies of the $1T corporate insurance market.</t>
  </si>
  <si>
    <t xml:space="preserve">https://www.huscarl.io/</t>
  </si>
  <si>
    <t xml:space="preserve">https://www.ycombinator.com/companies/huscarl</t>
  </si>
  <si>
    <t xml:space="preserve">Hyper</t>
  </si>
  <si>
    <t xml:space="preserve">Company brain that powers your AI employees</t>
  </si>
  <si>
    <t xml:space="preserve">Hyper is a shared brain that plugs into all information flowing inside a company, creates a self-maintaining knowledge graph, and makes your AI employees better and ultimately saves people time. Our in-house memory system scores at or above SOTA on most public benchmarks, and we've built a custom eval suite to measure our precision/recall metrics. In the last 12 days since launch, we've gotten top 5 / top 12 on hacker news &amp; product hunt, onboarded 50+ teams, grown 0 to 1k MRR, and are scoping paid design pilots with co's like Razorpay and Snorkel AI. Our whole lives we've packaged hardcore engineering into beautifully simple products, and that's how we’ll win this platform shift.</t>
  </si>
  <si>
    <t xml:space="preserve">https://heyhyper.ai</t>
  </si>
  <si>
    <t xml:space="preserve">https://www.ycombinator.com/companies/hyper-4</t>
  </si>
  <si>
    <t xml:space="preserve">Imperfect</t>
  </si>
  <si>
    <t xml:space="preserve">Adaptive training coach for runners, cyclists, and triathletes</t>
  </si>
  <si>
    <t xml:space="preserve">An adaptive training coach to help runners, cyclists, and triathletes set and achieve goals. It adapts your training, recovery, and nutrition to how your body is actually responding.</t>
  </si>
  <si>
    <t xml:space="preserve">https://imperfect.co</t>
  </si>
  <si>
    <t xml:space="preserve">https://www.ycombinator.com/companies/imperfect</t>
  </si>
  <si>
    <t xml:space="preserve">Control lab instruments with natural language.</t>
  </si>
  <si>
    <t xml:space="preserve">Describe an experiment in plain English, and Infera turns it into a validated, instrument-ready run across the equipment your lab already uses. Infera handles the protocol logic, vendor-specific scripts, data, inventory, and institutional knowledge in one system. An AI-native compiler for the lab: one system from intent to execution.</t>
  </si>
  <si>
    <t xml:space="preserve">Healthcare -&gt; Industrial Bio</t>
  </si>
  <si>
    <t xml:space="preserve">Robotic arms that pick and pack your orders.</t>
  </si>
  <si>
    <t xml:space="preserve">We are building AI-native fulfillment powered by robotics. Warehouses without human labor that get better, faster, and cheaper with every order. Most robotics companies wait until their system is perfect before deploying. We don't. We ship imperfect policies into real warehouses, detect failures in real time, recover automatically when we can, and bring in a remote human operator when we can't. Every failure becomes training data. Every intervention makes the system better. The result is a fulfillment system that continuously learns from production.</t>
  </si>
  <si>
    <t xml:space="preserve">InsForge (InstaCloud)</t>
  </si>
  <si>
    <t xml:space="preserve">The agent-native serverless cloud</t>
  </si>
  <si>
    <t xml:space="preserve">InstaCloud is the agent-native serverless cloud: deploy any code or service instantly, with automatic scaling and zero DevOps required.</t>
  </si>
  <si>
    <t xml:space="preserve">https://insforge.dev/</t>
  </si>
  <si>
    <t xml:space="preserve">https://www.ycombinator.com/companies/insforge-instacloud</t>
  </si>
  <si>
    <t xml:space="preserve">InstaAgent</t>
  </si>
  <si>
    <t xml:space="preserve">Scale marketing campaigns across hundreds of personas</t>
  </si>
  <si>
    <t xml:space="preserve">InstaAgent helps B2C companies scale a single campaign across hundreds of specific audiences on Meta and TikTok, each with its own content, voice, and targeting. Traction: $1M Ann. Run Rate in 10 months. From one brief, we create personalized creatives, distribute them through paid channels and niche social accounts, and use performance data to learn what works, scale winners, and improve every campaign.</t>
  </si>
  <si>
    <t xml:space="preserve">https://instaagent.com</t>
  </si>
  <si>
    <t xml:space="preserve">https://www.ycombinator.com/companies/instaagent</t>
  </si>
  <si>
    <t xml:space="preserve">Intelligence Factory</t>
  </si>
  <si>
    <t xml:space="preserve">Human Intelligence for Robots</t>
  </si>
  <si>
    <t xml:space="preserve">Robotics is the new paradigm. With hardware converging, Intelligence is the biggest bottleneck. Our world was built for humans and we're giving robots the ability to reason and act like us. The way we learn any task - by seeing, doing, and feeling - is how we train robots. We're building general intelligence that works on any robot and fits seamlessly within our world.</t>
  </si>
  <si>
    <t xml:space="preserve">https://intelligence-factory.com</t>
  </si>
  <si>
    <t xml:space="preserve">https://www.ycombinator.com/companies/intelligence-factory</t>
  </si>
  <si>
    <t xml:space="preserve">Interfaze</t>
  </si>
  <si>
    <t xml:space="preserve">AI model built for high accuracy deterministic tasks</t>
  </si>
  <si>
    <t xml:space="preserve">Interfaze is an AI model built on a new architecture that merges specialized DNN/CNN models with transformers for tasks that require deterministic output and high consistency like Document intelligence, Object detection, Classification, Audio understanding and more. Interfaze outperforms large lab models like Gemini flash, Claude Sonnet and the GPT-5.4 mini series Architecture paper: https://arxiv.org/abs/2602.04101 Full open benchmarks: https://interfaze.ai/leaderboards</t>
  </si>
  <si>
    <t xml:space="preserve">https://interfaze.ai</t>
  </si>
  <si>
    <t xml:space="preserve">https://www.ycombinator.com/companies/interfaze</t>
  </si>
  <si>
    <t xml:space="preserve">Inth</t>
  </si>
  <si>
    <t xml:space="preserve">Monitor and fix product privacy issues before they block growth</t>
  </si>
  <si>
    <t xml:space="preserve">Inth monitors your pull requests, codebase and website to catch privacy issues and turns them into fixes and evidence. Every product change you make exposes you to privacy risk. Customers lose trust. Fines and lawsuits are given. Fundraising and customer deals are broken. New market launches halt. The growth you thought you would have slows because privacy compliance is overwhelming and changes with every product update. Inth is fixing this to help you automate privacy compliance to ship and grow faster. Inth scans your PRs, website and codebase to catch any privacy risk. It then fixes and evidences them against your product, policies and global privacy laws to automate privacy compliance in every region your customers are in. Start a free privacy scan at: inth.com</t>
  </si>
  <si>
    <t xml:space="preserve">https://inth.com</t>
  </si>
  <si>
    <t xml:space="preserve">https://www.ycombinator.com/companies/inth</t>
  </si>
  <si>
    <t xml:space="preserve">jo</t>
  </si>
  <si>
    <t xml:space="preserve">The personal AI agent that keeps up with your work and life.</t>
  </si>
  <si>
    <t xml:space="preserve">jo is a personal AI agent that keeps up with your work and life, surfaces what matters, and helps you follow through. It remembers relevant context, works proactively, and supports recurring workflows through autopilot while keeping you in control.</t>
  </si>
  <si>
    <t xml:space="preserve">https://askjo.ai</t>
  </si>
  <si>
    <t xml:space="preserve">https://www.ycombinator.com/companies/jo</t>
  </si>
  <si>
    <t xml:space="preserve">Juno</t>
  </si>
  <si>
    <t xml:space="preserve">AI Health Assistant for Chronic Illness</t>
  </si>
  <si>
    <t xml:space="preserve">Juno is an AI personal health assistant for the 1B+ people living with chronic illness. Launched in October, Juno now supports 300,000+ patients globally.</t>
  </si>
  <si>
    <t xml:space="preserve">https://junocompanion.com/</t>
  </si>
  <si>
    <t xml:space="preserve">https://www.ycombinator.com/companies/juno-chat</t>
  </si>
  <si>
    <t xml:space="preserve">KelAI</t>
  </si>
  <si>
    <t xml:space="preserve">The AI Quant: Autonomous Alpha Engine for Funds and Traders.</t>
  </si>
  <si>
    <t xml:space="preserve">Founded by former WorldQuant portfolio manager &amp; head of event driven systematic strategies Jeremie Cohen, KelAI is building the autonomous alpha engine for hedge funds, traders and institutional investors. Investment teams now have more data, tools and compute than ever, but research still runs across siloed systems and inefficient workflows. KelAI turns that fragmented process into a compounding AI-native engine that continuously finds, tests and validates trading signals at a pace no human team can match.</t>
  </si>
  <si>
    <t xml:space="preserve">Fintech -&gt; Asset Management</t>
  </si>
  <si>
    <t xml:space="preserve">https://kelaitech.com/</t>
  </si>
  <si>
    <t xml:space="preserve">https://www.ycombinator.com/companies/kelai</t>
  </si>
  <si>
    <t xml:space="preserve">Bring AI to life with the world's best interactive avatars</t>
  </si>
  <si>
    <t xml:space="preserve">We build human foundation models. Our first family of models powers lifelike avatars that interact with users in real time, enabling AI agents and applications to go beyond text and voice with just a few lines of code. State-of-the-art realism with ultra-low latency at scale.</t>
  </si>
  <si>
    <t xml:space="preserve">Kimpton</t>
  </si>
  <si>
    <t xml:space="preserve">Live Evaluation Arenas for Financial Work</t>
  </si>
  <si>
    <t xml:space="preserve">In investment management, every decision gets graded. The market prints the answer on a date known in advance, and nobody gets to argue with it. Kimpton is financial AI that answers to reality. Kimpton OS is the AI-native operating system for investment teams: it does the research and hands PMs structured trades. EarningsBench is a public benchmark where models forecast quarterly earnings before companies report and the reported numbers do the scoring. Koliseum is the set of point-in-time financial environments we build from that work, for labs to train and evaluate models on. The whole industry is fighting underperformance. Active managers trail their benchmarks, and capital keeps bleeding into passive. AI was supposed to fix that, but it hasn't. Funds either stitch together a dozen point tools or babysit general agents all day, and neither gets them to the trade. Kimpton OS goes straight to it. It ingests a fund's mandate, strategy, and positions, connects to the institutional data the fund already runs on, and returns a structured trade proposal built for that fund. It's built to disagree, because consensus is poison for investment decisions. Instead of telling a PM what they want to hear, it surfaces the breaches and risks they'd otherwise miss. That same work is how we grade AI. Static benchmarks leak into training data. Simulations reward what their authors imagined. A forecast sealed before the outcome exists and scored when the company reports can't be rehearsed or backdated. We started in markets because they're the one place reality answers on schedule. We're two ex-Goldman engineers and an ex-SpaceX engineer. We left to start our own quantitative systematic hedge fund, raised $10M from a family office at 21 and 22, and scaled it to $35M over four years. We learned to trust live results over historical fit. We built Kimpton inside that fund, then productized the stack. We're live with our first institutional client, a $3.3B manager. Our first market is fundamental equity funds from $1B to $10B, and the labs that need to know whether their models can do this work.</t>
  </si>
  <si>
    <t xml:space="preserve">https://kimpton.ai</t>
  </si>
  <si>
    <t xml:space="preserve">https://www.ycombinator.com/companies/kimpton</t>
  </si>
  <si>
    <t xml:space="preserve">Kinect</t>
  </si>
  <si>
    <t xml:space="preserve">The AI revenue platform for D2C brands</t>
  </si>
  <si>
    <t xml:space="preserve">Kinect builds AI agents that know your brand, your catalog, and your customers. On your site, they sell every visitor — running the conversation, adapting product pages in real time to each customer segment, picking the right recommendation for the question being asked. The agent picks up on what each shopper actually wants from how they ask, what they hesitate on, what they compare, and what objection makes them bounce. We take all of a brand's data and make a structured catalog, brand voice, fit notes, return reasons, segment-level nuance — all so the Kinect agents truly can speak about a brand. When an agent describes the brand, the version it describes is the one you'd want them to, not whatever it guessed from a public catalog scrape. We expose this data as well in the form of agent storefronts, letting every other AI talk about your brand in the way you would want too. We're building for human shoppers today and the AI agents that shop and discover for them. Either way, the entire website needs to get a lot smarter and personalized. Two surfaces. One layer. Built for scaling DTC ecommerce brands.</t>
  </si>
  <si>
    <t xml:space="preserve">https://www.trykinect.ai/</t>
  </si>
  <si>
    <t xml:space="preserve">https://www.ycombinator.com/companies/kinect</t>
  </si>
  <si>
    <t xml:space="preserve">Kinro</t>
  </si>
  <si>
    <t xml:space="preserve">Autonomous insurance brokerage for small businesses</t>
  </si>
  <si>
    <t xml:space="preserve">We help small business owners get the right coverage.</t>
  </si>
  <si>
    <t xml:space="preserve">https://www.kinro.com/</t>
  </si>
  <si>
    <t xml:space="preserve">https://www.ycombinator.com/companies/kinro</t>
  </si>
  <si>
    <t xml:space="preserve">Liability insurance for AI Agents. You deploy agents, we cover you.</t>
  </si>
  <si>
    <t xml:space="preserve">Klaimee is the first insurance for your AI agents. It covers what traditional E&amp;O and cyber explicitly carve out, so you can deploy agentic AI at scale with real peace of mind. Built for companies deploying agentic AI, self-serve from day one. The problem: AI agents are taking actions autonomously buying, emailing, modifying sensitive data. AB 316 already holds deployers liable. EU AI Act enforces in August. Cyber and E&amp;O insurance are excluding AI claims. Companies shipping agents have zero coverage and no third-party proof their agent is safe. Enterprise legal asks "who pays if your agent breaks something?" and there's no good answer. We built the answer. Critical-category risk evaluation, certification, financial guarantee, liability insurance and the documentation enterprise procurement needs to sign off. Team: Ines (ex-General Manager at SafetyWing, grew insurance product from $5M to $60M revenue, 5 years launching insurance products from scratch and structuring a TokioMarine MGA into its own carrier) + Julien (AI software engineer + corporate strategy, enterprise compliance). We understand how insurance works, what enterprises require, and why startups can't wait 6 months for either.</t>
  </si>
  <si>
    <t xml:space="preserve">Klarify</t>
  </si>
  <si>
    <t xml:space="preserve">AI Agent for Therapists</t>
  </si>
  <si>
    <t xml:space="preserve">Klarify handles every job a therapist does other than the therapy itself, from clinical notes and treatment plans to insurance claims and finding new clients. Therapists hold the world together. They also run businesses, file insurance claims, write letters, fill forms, supervise new grads, and do hours of paperwork every night. Practice management software has existed for decades. It records what therapists do. It can't actually do any of it. Klara is the AI at the heart of Klarify. She handles notes, treatment plans, clinical letters, insurance claims, between-session resources, supervision prep, and finding new clients. Nearly 12,300 therapists use Klarify today. Our mission is to empower therapists, not replace them. So they can focus on the one thing only a human can do. Be present with their client.</t>
  </si>
  <si>
    <t xml:space="preserve">https://www.klarify.ca/</t>
  </si>
  <si>
    <t xml:space="preserve">https://www.ycombinator.com/companies/klarify</t>
  </si>
  <si>
    <t xml:space="preserve">Korso</t>
  </si>
  <si>
    <t xml:space="preserve">Your Capable Desktop AI Companion</t>
  </si>
  <si>
    <t xml:space="preserve">Korso is an intuitive AI assistant that can work alongside you on your computer. It can operate apps, conduct research, and guide you when you are stuck, all by voice</t>
  </si>
  <si>
    <t xml:space="preserve">Irvine, CA, USA</t>
  </si>
  <si>
    <t xml:space="preserve">https://korsoai.com/</t>
  </si>
  <si>
    <t xml:space="preserve">https://www.ycombinator.com/companies/korso</t>
  </si>
  <si>
    <t xml:space="preserve">Kugel is an on-prem Voice AI model supporting 30+ languages</t>
  </si>
  <si>
    <t xml:space="preserve">Kugel is an enterprise-ready TTS model, available on-prem, with a focus on 30+ languages and low latency.</t>
  </si>
  <si>
    <t xml:space="preserve">Kuli</t>
  </si>
  <si>
    <t xml:space="preserve">AI coworker for marketing teams at the largest consumer brands</t>
  </si>
  <si>
    <t xml:space="preserve">Kuli is an AI coworker for marketing teams at the world's largest consumer brands. Our agent watches all videos across social media, learns the brand's context and helps them turn signals from billions of social videos into winning campaigns without increasing headcount. Previous platforms gave marketers databases to search through and a CRM. Kuli actually watches the content. Marketers at team like Disney, Nivea and PostHog use it to scout creators, run analysis on trends and competitor strategies, and analyse what makes their campaign perform better. For 10 years, influencer marketing meant more tools, more tabs, more spreadsheets. Kuli replaces all of that with one single agent you orchestrate. One marketer with Kuli does what a $50K/month agency bills for manual tasks.</t>
  </si>
  <si>
    <t xml:space="preserve">https://kuli.one</t>
  </si>
  <si>
    <t xml:space="preserve">https://www.ycombinator.com/companies/kuli</t>
  </si>
  <si>
    <t xml:space="preserve">Lab0</t>
  </si>
  <si>
    <t xml:space="preserve">AI FDEs to make your B2B SaaS Go Live in Days, not Months</t>
  </si>
  <si>
    <t xml:space="preserve">Enterprise software implementation is broken, and it has been for decades. Every rollout, whether it's a traditional ERP or a new AI system, requires months of manual integration, configuration, and tuning done by armies of system integrators and forward-deployed engineers. Lab0 builds agentic systems that automate this layer, compressing months-long implementations into weeks.</t>
  </si>
  <si>
    <t xml:space="preserve">https://lab0.ai</t>
  </si>
  <si>
    <t xml:space="preserve">https://www.ycombinator.com/companies/lab0</t>
  </si>
  <si>
    <t xml:space="preserve">Lamina Labs</t>
  </si>
  <si>
    <t xml:space="preserve">Near-real-time video infrastructure for LLMs</t>
  </si>
  <si>
    <t xml:space="preserve">Lamina Labs is building infrastructure for near-real-time structured video generation. Most AI video is built for cinematic clips. Lamina is built for useful videos that break down ideas, workflows, and AI answers. Our first product, Simi, turns prompts and documents into whiteboard-style explainer videos in seconds</t>
  </si>
  <si>
    <t xml:space="preserve">https://laminalabs.ai</t>
  </si>
  <si>
    <t xml:space="preserve">https://www.ycombinator.com/companies/lamina-labs</t>
  </si>
  <si>
    <t xml:space="preserve">Lattice Health</t>
  </si>
  <si>
    <t xml:space="preserve">Monitoring and governance for deployed medical imaging AI</t>
  </si>
  <si>
    <t xml:space="preserve">Lattice Health monitors deployed medical imaging AI so hospitals can tell whether each model is still working, tracking agreement with the radiologist's read, drift, and performance across patient groups. It observes rather than controls and produces the evidence teams need for safety, governance and compliance.</t>
  </si>
  <si>
    <t xml:space="preserve">https://www.latticehealthai.com/</t>
  </si>
  <si>
    <t xml:space="preserve">https://www.ycombinator.com/companies/lattice-health</t>
  </si>
  <si>
    <t xml:space="preserve">Light Anchor</t>
  </si>
  <si>
    <t xml:space="preserve">AI-run consumer brands</t>
  </si>
  <si>
    <t xml:space="preserve">Light Anchor (YC P26) builds AI-run consumer brands that run at the speed of compute. Consumer brands have always been limited by the speed of humans: hiring, coordinating, and sleeping. AI agents that now run operations end-to-end break all those constraints, making a new kind of consumer business possible: one capped by compute, not headcount. Today, Light Anchor operates one flagship brand and multiple experiment stores, all run by AI agents on a shared platform that compounds with every new brand launched. The vision is thousands of consumer businesses, operating with little to no human intervention.</t>
  </si>
  <si>
    <t xml:space="preserve">Seoul, Seoul, South Korea</t>
  </si>
  <si>
    <t xml:space="preserve">https://lightanchor.ai</t>
  </si>
  <si>
    <t xml:space="preserve">https://www.ycombinator.com/companies/light-anchor</t>
  </si>
  <si>
    <t xml:space="preserve">Software factory for product teams</t>
  </si>
  <si>
    <t xml:space="preserve">Lightsprint is a collaborative software factory for product teams to plan visually, preview live and ship with an army of cloud agents. Your whole team, including non-engineers, can now ship end to end reliably. The company is founded by Ben Ong, an AI investor who previously scaled AI products at SEA Group (NYSE: SE) and Temasek ($300B fund), Benedict Chan who was VP Engineering at Chainlink and CTO at BitGo (NYSE:BTGO), and Heng Hong Lee who built Facebook Messenger in 2013 and was Director of Engineering at Fazz (YC S17).</t>
  </si>
  <si>
    <t xml:space="preserve">Limrun</t>
  </si>
  <si>
    <t xml:space="preserve">Extend cloud sandboxes with iOS, Android and more</t>
  </si>
  <si>
    <t xml:space="preserve">Coding agents in the cloud don't work for majority of teams who require native capabilities; they lack XCode for iOS, Emulator for Android, Unity for game development teams. We are on a mission to cloudify every local development utility so that regardless of where it runs, your agent can compose an ideal set of capabilities on the fly so you don't need to run it on your laptop. Today, we provide remote services such as XCode, iOS &amp; Android simulators to enable coding agents running in any sandbox to be able to build and iterate over mobile apps, too. Replit, Rork, Momentic, Minitap and more agent companies have built mobile development and testing experiences on Limrun platform. Coconote (Quizlet), SorceJobs (W25) and more companies with mobile apps use Limrun with their cloud agents, merging PRs without having to check out the code locally.</t>
  </si>
  <si>
    <t xml:space="preserve">https://lim.run</t>
  </si>
  <si>
    <t xml:space="preserve">https://www.ycombinator.com/companies/limrun</t>
  </si>
  <si>
    <t xml:space="preserve">Linzumi</t>
  </si>
  <si>
    <t xml:space="preserve">Team chat to command all your company's coding agents</t>
  </si>
  <si>
    <t xml:space="preserve">Linzumi is the chat your engineering team uses to direct dozens of AI coding agents. Kick off work, review it, ship it. All from chat. See every agent's work. Unblock the agents that need you from your laptop, your phone, the coffee line. Your teammates see it too. Every decision your team makes compiles into a source of truth - what to build, why it changed, how your agents should act. That same source generates new work and verifies completed work. Deliberative alignment, repurposed from aligning LLMs to aligning companies.</t>
  </si>
  <si>
    <t xml:space="preserve">https://linzumi.com</t>
  </si>
  <si>
    <t xml:space="preserve">https://www.ycombinator.com/companies/linzumi</t>
  </si>
  <si>
    <t xml:space="preserve">Fast, smart, accessible 3D ultrasound that anyone can use</t>
  </si>
  <si>
    <t xml:space="preserve">Ultrasound today is still mostly 2D. Clinicians have to imagine the 3D anatomy in their head while also moving the probe at the same time. This makes procedures like vascular access hard to learn and perform consistently, especially for beginners. ~50% fail on their first attempt. Hospitals also spend millions each year on 2D ultrasound training. Meanwhile, existing 3D ultrasound devices can cost &gt;10× as much. Lumius is building fast, smart, and accessible 3D ultrasound systems to eliminate this 2D guesswork. Our technology shows a clear, real-time 3D view of what’s inside the body. It works over a large volume, not just a thin slice. The device is also affordable, compact, and portable. We are starting with vascular access, especially central line. Future use cases include blood clot detection, tumor diagnosis, and biopsy guidance. Our long-term vision is a universal 3D ultrasound platform that brings easy-to-use, real-time imaging to a wide range of clinical and eventually consumer applications.</t>
  </si>
  <si>
    <t xml:space="preserve">Healthcare -&gt; Medical Devices</t>
  </si>
  <si>
    <t xml:space="preserve">Hyper-efficient coolers for data centers</t>
  </si>
  <si>
    <t xml:space="preserve">Madrone builds cooling systems for data centers. In Texas, where most new sites are, Madrone can cool using 30% less power and water, thanks to novel dew-point cooling technology.</t>
  </si>
  <si>
    <t xml:space="preserve">Manicule</t>
  </si>
  <si>
    <t xml:space="preserve">AgentRel — Devrel For Agents</t>
  </si>
  <si>
    <t xml:space="preserve">Manicule does AgentRel. We get companies discovered and used by AI agents. Think DevRel, rebuilt for a world where agents make all the decisions. We own developer documentation and technical content across social channels, end-to-end. We've grown 100% MoM over the last three months to $53K in monthly revenue, with customers like Supermemory, Greptile, Reducto, and Mastra. Getting discovered and used by agents is its own job now, and the market for it is broken. The SEO/GEO SaaS tools just show you data like where you rank in AI answers. The agencies are slow and lack know-how with agents. The one person who could own all of it end-to-end, a DevRel, is nearly impossible to hire: our customers have had roles open for months at $300K+ and still can't find anyone good. We solve all these gaps. Naman has been doing fractional DevRel since he was 13, working with companies like PromptLayer, Brightdata, and Courier.com. Shreyans has been building since 14 — he built an AI app that hit App Store Productivity Trending within a month, and was the founding engineer at Supermemory. We met in high school and have built multiple startups together since.</t>
  </si>
  <si>
    <t xml:space="preserve">https://manicule.com</t>
  </si>
  <si>
    <t xml:space="preserve">https://www.ycombinator.com/companies/manicule</t>
  </si>
  <si>
    <t xml:space="preserve">Maquoketa Research</t>
  </si>
  <si>
    <t xml:space="preserve">Automated LiveOps for Game Studios</t>
  </si>
  <si>
    <t xml:space="preserve">https://www.maquoketa.net</t>
  </si>
  <si>
    <t xml:space="preserve">https://www.ycombinator.com/companies/maquoketa-research</t>
  </si>
  <si>
    <t xml:space="preserve">Masterpiece</t>
  </si>
  <si>
    <t xml:space="preserve">Working capital for data companies training frontier AI</t>
  </si>
  <si>
    <t xml:space="preserve">We believe AI will be one of humanity’s next great masterpieces. Building it will require financial infrastructure as ambitious as the companies creating it. We're founders backed by Y Combinator building the financial rails underpinning the AI data economy. Masterpiece provides short term working capital to data vendors that sell training data, evaluation work, and reinforcement learning environments to frontier AI labs. A major financing gap exists in this market. Data vendors often need to pay contributors and fund operations before a lab has completed QA, accepted the work, and paid the invoice. This creates a 30 to 90 day cash gap between when vendors incur costs and when they receive payment. Legacy invoice lenders have little visibility into how to underwrite these assets. Masterpiece closes that gap by advancing capital against high quality lab contracts and invoices. Vendors can use the capital to scale delivery, pay contributors, and fund growth, then repay masterpiece when the lab payment arrives.</t>
  </si>
  <si>
    <t xml:space="preserve">https://masterpiecelabs.xyz/</t>
  </si>
  <si>
    <t xml:space="preserve">https://www.ycombinator.com/companies/masterpiece</t>
  </si>
  <si>
    <t xml:space="preserve">Memoir</t>
  </si>
  <si>
    <t xml:space="preserve">Everything your team ships, explained to everyone it affects.</t>
  </si>
  <si>
    <t xml:space="preserve">Memoir is building a persistent and proactive AI teammate that helps an entire company keep up with its own progress. Think Instinct but for enterprise. We’re starting with product changes. When engineering ships something, Memoir understands who it affects and creates what each audience needs: a walkthrough for a customer, launch materials for a product marketer, or a technical explanation for another engineering team. It chooses the format and timing, then delivers the approved material in Slack. Nobody has to ask it to start. We’re beginning with hands-on deployments, learning how each company works and where people depend on one another. That understanding will let Memoir expand beyond product releases to customer commitments, business decisions, and changes across departments. The idea grew from conversations with product marketers struggling to keep up with engineering, and the possibility of extending a proactive personal AI teammate to an entire business. Our ambition is a company where every important change sets the right communication in motion: the people affected receive something made for them, when they need it, without someone having to coordinate every handoff. As AI makes individual teams faster, Memoir helps that speed carry through the whole company.</t>
  </si>
  <si>
    <t xml:space="preserve">https://www.trymemoir.ai/</t>
  </si>
  <si>
    <t xml:space="preserve">https://www.ycombinator.com/companies/memoir</t>
  </si>
  <si>
    <t xml:space="preserve">Memory Store</t>
  </si>
  <si>
    <t xml:space="preserve">Company Brain.</t>
  </si>
  <si>
    <t xml:space="preserve">One memory for your team's agents. Turn every meeting, Claude session, and Slack chat into context your team and agents share.</t>
  </si>
  <si>
    <t xml:space="preserve">https://memory.store</t>
  </si>
  <si>
    <t xml:space="preserve">https://www.ycombinator.com/companies/memory-store</t>
  </si>
  <si>
    <t xml:space="preserve">Minicor</t>
  </si>
  <si>
    <t xml:space="preserve">Scalable windows desktop automations</t>
  </si>
  <si>
    <t xml:space="preserve">Minicor connects AI startups to legacy desktop apps that have no API. Reliably, quickly and at scale. Describe a workflow and get an API endpoint. Each call triggers a self-healing desktop automation on a Windows VM. On-prem, cloud, or Citrix. Build through your coding agent via our MCP. Complete with the observability tools to manage your customer relationship: full video replay of every automation, granular logging, and slack enabled alerts.</t>
  </si>
  <si>
    <t xml:space="preserve">https://minicor.com</t>
  </si>
  <si>
    <t xml:space="preserve">https://www.ycombinator.com/companies/minicor</t>
  </si>
  <si>
    <t xml:space="preserve">Miso Labs</t>
  </si>
  <si>
    <t xml:space="preserve">Emotive foundation voice models</t>
  </si>
  <si>
    <t xml:space="preserve">Miso Labs is building the world’s most emotive foundation models for voice. Our goal is to pass the voice Turing test.</t>
  </si>
  <si>
    <t xml:space="preserve">https://misolabs.ai</t>
  </si>
  <si>
    <t xml:space="preserve">https://www.ycombinator.com/companies/miso-labs</t>
  </si>
  <si>
    <t xml:space="preserve">US stock trading, unlocked for the globe</t>
  </si>
  <si>
    <t xml:space="preserve">Mochatrade lets global traders trade top US stocks using perpetual futures. Access all US stocks including TSLA, NVDA, and AAPL, plus pre-IPO companies and commodities, no US brokerage account needed. Money in and out in local currency (UPI in India), with professional-grade execution on the world's most liquid equities. Starting with India (140M+ demat account holders), expanding across other markets. Backed by Coinfund, Coinbase, and Y Combinator.</t>
  </si>
  <si>
    <t xml:space="preserve">Modern</t>
  </si>
  <si>
    <t xml:space="preserve">Modern - the ServiceNow killer</t>
  </si>
  <si>
    <t xml:space="preserve">Modern is consolidating the IT function into a single platform powered by secure, always-on agents who understand your business. Help desk, access, hardware, on/off-boarding, security, procurement are automated end-to-end inside the channels your team already uses (Slack, Teams, Email, Voice, WhatsApp, Telegram).</t>
  </si>
  <si>
    <t xml:space="preserve">Melbourne, VIC, Australia</t>
  </si>
  <si>
    <t xml:space="preserve">https://getmodern.ai</t>
  </si>
  <si>
    <t xml:space="preserve">https://www.ycombinator.com/companies/modern</t>
  </si>
  <si>
    <t xml:space="preserve">Mount</t>
  </si>
  <si>
    <t xml:space="preserve">The AI Agent Insurance Carrier</t>
  </si>
  <si>
    <t xml:space="preserve">TLDR: Mount is building the AI insurance carrier, starting with liability coverage for deployed AI agents. As everyone moves AI Agents into production and gives them more responsibility, we help businesses insure and secure them. Whenever responsibility shifts from human operators to autonomous systems, so too does the liability that accompanies it. The systems also introduce new risks: agentic software failures, prompt injection attacks, autonomous workflow errors, data leaks, and more. Legacy insurance was not built for this. Existing policies are often silent, ambiguous, or exclude autonomous software, and traditional insurers lack the data and technical capability to assess deployed AI Systems. Our first product, the Mount AI Liability Policy, is built for mid-market and enterprise companies deploying autonomous AI agents in real business processes. We scan and red-team AI deployments, quantify operational risk, help fix vulnerabilities, and insure the residual risk with purpose-built AI liability coverage. Mount is best thought of as a highly automated version of today's commercial insurance carriers, which run on manual workflows, layers of intermediaries, and tens of thousands of employees. AI enables automation of underwriting, pricing, policy issuance, claims, fraud detection, customer support, and distribution. We believe that the best way to use this opportunity is to rebuild those processes from the ground up.</t>
  </si>
  <si>
    <t xml:space="preserve">https://mount.insure</t>
  </si>
  <si>
    <t xml:space="preserve">https://www.ycombinator.com/companies/mount</t>
  </si>
  <si>
    <t xml:space="preserve">Multiplier</t>
  </si>
  <si>
    <t xml:space="preserve">Agent harnesses for asset managers</t>
  </si>
  <si>
    <t xml:space="preserve">Multiplier helps institutional investors research stocks and manage their portfolios. We're live with six hedge funds, and our users spend 4+ hours a day in the platform. Investors who try "nearly every tool on the market," to quote a client of ours, "wind up with an unwieldy collection of fragmented point solutions." Those who focus on building a great setup with general agents are instead "signing up for a full-time job." So we deploy a platform called Multiplier that unifies structured data, unstructured data, AI work, human work, and tacit firm knowledge in one secure, governed, customized application. Our first vertical: independent equity funds with $250M-$5B of assets. They know AI is essential for staying relevant, but they don't have the time or talent to figure out what to do about it. But once we deploy Multiplier––"We used to spend 80% of our time gathering information and 20% of our time acting on it," said one customer. "Multiplier has flipped those percentages."</t>
  </si>
  <si>
    <t xml:space="preserve">https://multiplier.ai</t>
  </si>
  <si>
    <t xml:space="preserve">https://www.ycombinator.com/companies/multiplier</t>
  </si>
  <si>
    <t xml:space="preserve">Napkin Math</t>
  </si>
  <si>
    <t xml:space="preserve">AI nutrition coach in your pocket</t>
  </si>
  <si>
    <t xml:space="preserve">Napkin Math is the personalized AI food journal that people love to use. We gamify nutrition tracking so people are 2x more likely to stick with us than other trackers. Claire, Manuel, and I (best friends for 10 years from MIT) are obsessed with how we can make nutrition fun, and turn fun into health outcomes. === Existing consumer health apps focus on scaling a one-size-fits-all solution: calorie deficits. But they don’t answer the questions you actually have. Food is deeply personal, and so is Napkin Math: Get the fuel you need for marathon training, while understanding you eat catered office lunches five days a week. Discover what’s triggering your stomach irritation, without sacrificing your weekly dinner with friends. Napkin Math tailors a plan for not only your specific health goal, but also your life.</t>
  </si>
  <si>
    <t xml:space="preserve">https://napkinmath.club</t>
  </si>
  <si>
    <t xml:space="preserve">https://www.ycombinator.com/companies/napkin-math</t>
  </si>
  <si>
    <t xml:space="preserve">Netter</t>
  </si>
  <si>
    <t xml:space="preserve">AI agents for data science (enterprise)</t>
  </si>
  <si>
    <t xml:space="preserve">Netter (YC P26) helps companies regain control over their data, so teams can pilot their activities with high precision. Most companies are sitting on years of valuable data, spread across different formats and disconnected tools that don't talk to each other. Netter brings technical capacity to companies that don't have an army of data engineers, and tackles their most complex data challenges. - A nursing home group was chasing unpaid invoices manually across disconnected tools. Netter centralized the collection workflows, automated reminders, real-time visibility, task routing. - A retail chain had years of loyalty card data sitting unused. Netter cross-referenced it with public demographic data to build precise customer segments and trigger the right promotions to the right people.</t>
  </si>
  <si>
    <t xml:space="preserve">https://netter.ai</t>
  </si>
  <si>
    <t xml:space="preserve">https://www.ycombinator.com/companies/netter</t>
  </si>
  <si>
    <t xml:space="preserve">Nine Fives</t>
  </si>
  <si>
    <t xml:space="preserve">RF test equipment for next-gen spacecraft, drones, and cellphones</t>
  </si>
  <si>
    <t xml:space="preserve">Nine Fives produces modern radio frequency test equipment and solutions to disrupt the $130B test equipment industry. By combining modern electronics, AI ready test automation, and strategic supply chains, we’re equipping our customers to cut their time to market in half.</t>
  </si>
  <si>
    <t xml:space="preserve">https://ninefives.com/</t>
  </si>
  <si>
    <t xml:space="preserve">https://www.ycombinator.com/companies/nine-fives</t>
  </si>
  <si>
    <t xml:space="preserve">Oddpool</t>
  </si>
  <si>
    <t xml:space="preserve">Institutional infrastructure for prediction markets</t>
  </si>
  <si>
    <t xml:space="preserve">Oddpool is a platform that helps quant funds and trading desks harness the power of prediction markets. Avi and Ritesh have been roommates since freshman year at Georgia Tech. Avi has a Master's in ML and saved Microsoft $6M/year by building a more accurate model on half the hardware. Ritesh has a Master's in Distributed Systems and made buy-side trading systems at Bloomberg 40% faster.</t>
  </si>
  <si>
    <t xml:space="preserve">https://www.oddpool.com</t>
  </si>
  <si>
    <t xml:space="preserve">https://www.ycombinator.com/companies/oddpool</t>
  </si>
  <si>
    <t xml:space="preserve">AI agents that interviews every employee to hand context to AI tools.</t>
  </si>
  <si>
    <t xml:space="preserve">Ontora is an AI Agent that interviews every employee to map how work actually gets done and identify bottlenecks. Consultants spend months doing this manually; Ontora does it in hours.</t>
  </si>
  <si>
    <t xml:space="preserve">OpenProse</t>
  </si>
  <si>
    <t xml:space="preserve">An open-source operating system for reliable long-running agents</t>
  </si>
  <si>
    <t xml:space="preserve">OpenProse is building open-source infrastructure for long-running AI work: a declarative language plus a reactive harness/runtime for reliable agent workflows.</t>
  </si>
  <si>
    <t xml:space="preserve">Boston, MA, USA; Remote</t>
  </si>
  <si>
    <t xml:space="preserve">https://prose.md</t>
  </si>
  <si>
    <t xml:space="preserve">https://www.ycombinator.com/companies/openprose</t>
  </si>
  <si>
    <t xml:space="preserve">OpenWork</t>
  </si>
  <si>
    <t xml:space="preserve">The open source alternative to Claude Cowork</t>
  </si>
  <si>
    <t xml:space="preserve">OpenWork is a desktop app that lets people connect to their existing skills, MCPs, and agents. Users can download the app for free, try it with over 50+ model providers, and easily share their setup with their team.</t>
  </si>
  <si>
    <t xml:space="preserve">https://openworklabs.com</t>
  </si>
  <si>
    <t xml:space="preserve">https://www.ycombinator.com/companies/openwork</t>
  </si>
  <si>
    <t xml:space="preserve">Ornadyne</t>
  </si>
  <si>
    <t xml:space="preserve">We're building robot birds for surveillance.</t>
  </si>
  <si>
    <t xml:space="preserve">Ornadyne builds flapping-wing drones for reconnaissance that look, fly, and sound like birds. Today’s drones are easy to detect acoustically, visually, and electronically. As counter-UAS systems improve, traditional quadcopters and fixed-wing UAS systems are becoming increasingly ineffective for close-range surveillance. Flapping-wing aircraft have existed for years, but have lacked the performance, endurance, and control required for real-world deployment. We’re changing that by engineering a high-performance, stealth-optimized system built from first principles for efficiency, autonomy, and reliable field use. The final frontier of surveillance won’t look like machines; it will look like wildlife already in the sky. Maybe birds aren't real?</t>
  </si>
  <si>
    <t xml:space="preserve">https://ornadyne.com/</t>
  </si>
  <si>
    <t xml:space="preserve">https://www.ycombinator.com/companies/ornadyne</t>
  </si>
  <si>
    <t xml:space="preserve">AI mobile app that helps factory technicians fix broken machines</t>
  </si>
  <si>
    <t xml:space="preserve">Pairo is an AI mobile app to help technicians fix broken equipment in factories. Users just take a picture of the broken machine and we search thousands of pages of manuals to find the right solution.</t>
  </si>
  <si>
    <t xml:space="preserve">Panacea</t>
  </si>
  <si>
    <t xml:space="preserve">AI-Native FDA Regulatory Services</t>
  </si>
  <si>
    <t xml:space="preserve">Panacea provides AI-native FDA regulatory services for Biotechs and Medical Device companies. We hire the most experienced FDA consultants in the industry (ex-FDA, decades of experience, hundreds of filings) and pair them with our AI platform to enable the fastest and lowest cost pathway to FDA approval. While other regulatory consultants bill hourly, our pricing model is simple: fixed, outcome-based pricing. Payment is only due when milestones are complete. We support all FDA regulatory pathways including IND, NDA, BLA, ODD, Pre-Subs, 510(k), De Novo, PMA, IDE, BDD, etc.</t>
  </si>
  <si>
    <t xml:space="preserve">https://withpanacea.com</t>
  </si>
  <si>
    <t xml:space="preserve">https://www.ycombinator.com/companies/panacea</t>
  </si>
  <si>
    <t xml:space="preserve">Agentic operating system for auto repair shops</t>
  </si>
  <si>
    <t xml:space="preserve">Parrot is an agentic OS that understands your business so it can call, negotiate, and coordinate with real humans.</t>
  </si>
  <si>
    <t xml:space="preserve">https://www.useparrot.com/</t>
  </si>
  <si>
    <t xml:space="preserve">https://www.ycombinator.com/companies/useparrot</t>
  </si>
  <si>
    <t xml:space="preserve">Pavoot</t>
  </si>
  <si>
    <t xml:space="preserve">AI Event Manager for in-person events</t>
  </si>
  <si>
    <t xml:space="preserve">Pavoot is an AI event manager for companies that run in-person customer events. More and more companies are investing in dinners, summits, and community events because relationships drive revenue. But today, running events means sourcing attendees, sending invitations, hosting the event, and then manually digging through notes, emails, and spreadsheets afterward to figure out who attended, what was discussed, who is a strong lead, and who should be followed up with. Most teams either send generic "thanks for coming" emails or never properly capture the value created during the event. Pavoot replaces this fragmented workflow with a single AI system that keeps every attendee, interaction, conversation, and follow-up connected in one place, making relationship-driven growth scalable. Gohar and Ana met while studying Computer Science at ETH Zurich. Gohar is a six-time Swiss chess champion and was the youngest member of Switzerland’s national chess team at age 13. Ana won more than 20 medals in scientific Olympiads, ranked 1st in CS at Latin America’s most competitive university, and built internal AI systems used by hundreds of data scientists at some of the largest banks in Latin America before moving to ETH Zurich for AI research. === Book a demo: pavoot.com</t>
  </si>
  <si>
    <t xml:space="preserve">https://pavoot.com</t>
  </si>
  <si>
    <t xml:space="preserve">https://www.ycombinator.com/companies/pavoot</t>
  </si>
  <si>
    <t xml:space="preserve">Pentagon</t>
  </si>
  <si>
    <t xml:space="preserve">The control plane for agent-native work.</t>
  </si>
  <si>
    <t xml:space="preserve">Pentagon is a workspace for your AI employees to communicate, coordinate, and get work done as a team.</t>
  </si>
  <si>
    <t xml:space="preserve">https://pentagon.run</t>
  </si>
  <si>
    <t xml:space="preserve">https://www.ycombinator.com/companies/pentagon</t>
  </si>
  <si>
    <t xml:space="preserve">PerfectBit, Inc.</t>
  </si>
  <si>
    <t xml:space="preserve">PerfectBit builds learned policies for robots that do real work. We train manipulation and control policies that hold up outside the lab, in the unstructured environments where real tasks actually happen. Founded by two alumni of Meta's Superintelligence org: Péter Vajda led Media GenAI foundation-model R&amp;D (Emu, Movie Gen, image and video editing), and Seiji Yamamoto led teams in the Core Llama group across LLM pre-training and post-training, inference optimization, and computer vision. We're early, deliberately quiet about the details, and hiring the first researchers who will shape what this becomes. San Francisco, on-site.</t>
  </si>
  <si>
    <t xml:space="preserve">https://perfectbit.ai</t>
  </si>
  <si>
    <t xml:space="preserve">https://www.ycombinator.com/companies/perfectbit-inc</t>
  </si>
  <si>
    <t xml:space="preserve">PLAN0 AI</t>
  </si>
  <si>
    <t xml:space="preserve">Construction Cost Intelligence.</t>
  </si>
  <si>
    <t xml:space="preserve">PLAN0 is building the Bloomberg of construction for real estate developers, investors, and general contractors — $30B of projects are already running through the platform. We analyze architectural plans using vision models to generate detailed cost estimates and analytics in minutes. Through industry partnerships, the platform also aggregates historical and real-time project data across all major geographies to power ML-driven analytics, decomposing costs into market-observable factors and creating an agentic layer for cost optimization.</t>
  </si>
  <si>
    <t xml:space="preserve">https://plan0.ai/</t>
  </si>
  <si>
    <t xml:space="preserve">https://www.ycombinator.com/companies/plan0-ai</t>
  </si>
  <si>
    <t xml:space="preserve">Plena Health</t>
  </si>
  <si>
    <t xml:space="preserve">Plena is the AI operating system for specialty medical practices</t>
  </si>
  <si>
    <t xml:space="preserve">Plena is the AI operating system for specialty medical practices. We automate the administrative workflows that keep clinics running — referrals, fax intake, scheduling, procedure compliance, and collections — end to end, across all the systems a practice already uses. Unlike point solutions that cover a slice of the problem, Plena becomes the operating layer across the entire practice, connecting the systems, teams, and workflows that keep it running. In 10 months we've grown 17x and crossed seven figures in committed ARR across six specialties and eight states, with 80% of growth through word of mouth.</t>
  </si>
  <si>
    <t xml:space="preserve">https://www.plena.health/</t>
  </si>
  <si>
    <t xml:space="preserve">https://www.ycombinator.com/companies/plena-health</t>
  </si>
  <si>
    <t xml:space="preserve">Ploy turns your website into your company's growth engine.</t>
  </si>
  <si>
    <t xml:space="preserve">https://www.ycombinator.com/companies/ploy</t>
  </si>
  <si>
    <t xml:space="preserve">Pops</t>
  </si>
  <si>
    <t xml:space="preserve">Create &amp; play AI games with friends</t>
  </si>
  <si>
    <t xml:space="preserve">Pops lets people play, remix, and share AI games with friends. Discover an infinite feed of games, challenges, quizzes, and other fun interactive experiences made by others. Every play instantly becomes a funny gameplay/reaction video you can send to friends, post online, or use to challenge someone to beat your score. For creators, Pops makes it easier than ever to bring ideas to life and get them played. Instead of learning complex game engines, writing code, or fighting for distribution, anyone can create or remix a playable game in seconds. Bring your ideas, and Pops brings the audience.</t>
  </si>
  <si>
    <t xml:space="preserve">https://pops.fyi</t>
  </si>
  <si>
    <t xml:space="preserve">https://www.ycombinator.com/companies/pops</t>
  </si>
  <si>
    <t xml:space="preserve">primitive</t>
  </si>
  <si>
    <t xml:space="preserve">communication for agents</t>
  </si>
  <si>
    <t xml:space="preserve">Building the communication infrastructure needed for fully autonomous agents</t>
  </si>
  <si>
    <t xml:space="preserve">https://primitive.dev</t>
  </si>
  <si>
    <t xml:space="preserve">https://www.ycombinator.com/companies/primitive</t>
  </si>
  <si>
    <t xml:space="preserve">AI-native recruiting agency</t>
  </si>
  <si>
    <t xml:space="preserve">Prism is an AI-native recruiting agency. We use software and agents to find companies better people faster.</t>
  </si>
  <si>
    <t xml:space="preserve">ProjectX</t>
  </si>
  <si>
    <t xml:space="preserve">Agent native workspace for heavy parallel workflows on the web</t>
  </si>
  <si>
    <t xml:space="preserve">Every computer ever made forces you to do one thing at a time. One cursor. One keyboard. One Hardware. One app in focus. Fifty years. Nobody questioned it. We did. We started over. We built InfinityOS, a fundamentally new computer OS on the cloud from ground up. Infinity runs every app in its own independent computer -- own GPU, own input, own environment. Windows and Linux in the same session. Humans and agents working side by side. No concurrency ceiling. Cold start in seconds. runs on the browser of any device..</t>
  </si>
  <si>
    <t xml:space="preserve">https://www.projectx.cloud/</t>
  </si>
  <si>
    <t xml:space="preserve">https://www.ycombinator.com/companies/projectx</t>
  </si>
  <si>
    <t xml:space="preserve">Prototyping.io</t>
  </si>
  <si>
    <t xml:space="preserve">Autonomous manufacturing for mechanical parts</t>
  </si>
  <si>
    <t xml:space="preserve">Prototyping.io turns CAD designs into real mechanical parts through an AI-driven manufacturing system. We analyze designs for manufacturability and automate production workflows to deliver high-quality parts faster and at lower cost.</t>
  </si>
  <si>
    <t xml:space="preserve">https://www.prototyping.io</t>
  </si>
  <si>
    <t xml:space="preserve">https://www.ycombinator.com/companies/prototypingio</t>
  </si>
  <si>
    <t xml:space="preserve">PumpGTM</t>
  </si>
  <si>
    <t xml:space="preserve">Find and engage with desperate buyers across LinkedIn, Email, and X</t>
  </si>
  <si>
    <t xml:space="preserve">Your favorite AI's favorite GTM tooling We connect your LinkedIn, Email, and X and find you leads and get you sales while you sleep</t>
  </si>
  <si>
    <t xml:space="preserve">https://pumpgtm.com/</t>
  </si>
  <si>
    <t xml:space="preserve">https://www.ycombinator.com/companies/pumpgtm</t>
  </si>
  <si>
    <t xml:space="preserve">RASPIRE</t>
  </si>
  <si>
    <t xml:space="preserve">Autonomous Runtime Security</t>
  </si>
  <si>
    <t xml:space="preserve">RASPIRE is the first line of defense for applications against AI-powered fraud attacks, API abuse, and runtime threats. Unlike code scanners and pentesting tools that identify vulnerabilities before release, RASPIRE operates like a security expert running inside applications, monitoring, detecting, and blocking attacks 24/7 in real time. All without writing a single line of code.</t>
  </si>
  <si>
    <t xml:space="preserve">Cairo, Cairo Governorate, Egypt</t>
  </si>
  <si>
    <t xml:space="preserve">https://raspire.com/</t>
  </si>
  <si>
    <t xml:space="preserve">https://www.ycombinator.com/companies/raspire</t>
  </si>
  <si>
    <t xml:space="preserve">Reason Machines</t>
  </si>
  <si>
    <t xml:space="preserve">Reason Machines builds Reason Agent, the autonomous software engineer…</t>
  </si>
  <si>
    <t xml:space="preserve">Reason Machines builds Reason Agent, the autonomous software engineer for engineering teams. Reason connects to GitHub, reproduces bugs, writes code, passes tests, and ships review-ready pull requests with recordings and logs across cloud environments.</t>
  </si>
  <si>
    <t xml:space="preserve">https://reasonmachines.com</t>
  </si>
  <si>
    <t xml:space="preserve">https://www.ycombinator.com/companies/reason-machines</t>
  </si>
  <si>
    <t xml:space="preserve">ReasonBlocks</t>
  </si>
  <si>
    <t xml:space="preserve">Specialized models that make your AI agents cheaper and more reliable.</t>
  </si>
  <si>
    <t xml:space="preserve">ReasonBlocks turns your agents’ production traces into specialized models, delivering 10× cheaper inference without sacrificing performance. We handle training, routing, and serving.</t>
  </si>
  <si>
    <t xml:space="preserve">https://reasonblocks.com/</t>
  </si>
  <si>
    <t xml:space="preserve">https://www.ycombinator.com/companies/reasonblocks</t>
  </si>
  <si>
    <t xml:space="preserve">Regbase</t>
  </si>
  <si>
    <t xml:space="preserve">Automating Corporate Compliance, Worldwide</t>
  </si>
  <si>
    <t xml:space="preserve">https://regbase.com</t>
  </si>
  <si>
    <t xml:space="preserve">https://www.ycombinator.com/companies/regbase</t>
  </si>
  <si>
    <t xml:space="preserve">Marketplace for AI agents to hire humans.</t>
  </si>
  <si>
    <t xml:space="preserve">Consumer -&gt; Job and Career Services</t>
  </si>
  <si>
    <t xml:space="preserve">Replicas</t>
  </si>
  <si>
    <t xml:space="preserve">Run any coding agent harness in the cloud</t>
  </si>
  <si>
    <t xml:space="preserve">Replicas is a cloud coding agent that allows you to delegate tasks to Claude Code or Codex from the app, Slack, Linear, and more. Each task works inside of a sandboxed virtual machine, allowing teams to heavily parallelize work and burn through tickets. Replicas agents output higher quality PRs via feedback loops - each task automatically is notified and fixes CI failures and reads all code reviews. With Environments, engineering teams can configure agents to run their entire codebase locally, verify its work, and provide preview URLs.</t>
  </si>
  <si>
    <t xml:space="preserve">https://replicas.dev</t>
  </si>
  <si>
    <t xml:space="preserve">https://www.ycombinator.com/companies/replicas</t>
  </si>
  <si>
    <t xml:space="preserve">Result</t>
  </si>
  <si>
    <t xml:space="preserve">Where new internet entrepreneurs build and run their companies</t>
  </si>
  <si>
    <t xml:space="preserve">Result is where the next generation of founders start and run their companies. In one place, you incorporate, open accounts, take payments, launch a product, and run the operational work of the business: marketing campaigns, customer support, content production, and growth experiments, with agents inside Result helping the founder do the work.</t>
  </si>
  <si>
    <t xml:space="preserve">https://result.dev/</t>
  </si>
  <si>
    <t xml:space="preserve">https://www.ycombinator.com/companies/result</t>
  </si>
  <si>
    <t xml:space="preserve">Revnu</t>
  </si>
  <si>
    <t xml:space="preserve">Your AI growth hire.</t>
  </si>
  <si>
    <t xml:space="preserve">Revnu does the growth work founders never get round to. Connect your tools and it researches buyers, prepares outreach, runs ads and publishes search content. It watches the results and uses what it learns across every channel. You approve the work that needs your judgment and hear what moved every morning. You build. We grow.</t>
  </si>
  <si>
    <t xml:space="preserve">Manchester, England, United Kingdom</t>
  </si>
  <si>
    <t xml:space="preserve">https://revnu.com</t>
  </si>
  <si>
    <t xml:space="preserve">https://www.ycombinator.com/companies/revnu</t>
  </si>
  <si>
    <t xml:space="preserve">River Markets</t>
  </si>
  <si>
    <t xml:space="preserve">Prime brokerage for prediction markets</t>
  </si>
  <si>
    <t xml:space="preserve">River Markets is the prime brokerage for prediction markets. We aggregate every major event-contract venue into one account, giving professional traders best execution, portfolio and order management systems, and a unified API.</t>
  </si>
  <si>
    <t xml:space="preserve">https://www.rivermarkets.com</t>
  </si>
  <si>
    <t xml:space="preserve">https://www.ycombinator.com/companies/river-markets</t>
  </si>
  <si>
    <t xml:space="preserve">Rudus</t>
  </si>
  <si>
    <t xml:space="preserve">AI Takeoffs for Concrete</t>
  </si>
  <si>
    <t xml:space="preserve">Rudus is an AI-powered takeoff and estimation platform enabling concrete contractors to win 3x more projects yearly. It automatically identifies every concrete structure like footings, walls, columns, and slabs on plans, eliminating the manual work and reducing estimation time by 70%. Concrete is the most-used material on earth after water, and demand is surging with the AI infrastructure boom.</t>
  </si>
  <si>
    <t xml:space="preserve">http://rudus.ai/</t>
  </si>
  <si>
    <t xml:space="preserve">https://www.ycombinator.com/companies/rudus</t>
  </si>
  <si>
    <t xml:space="preserve">Runtime</t>
  </si>
  <si>
    <t xml:space="preserve">The AI agent harness for payment teams</t>
  </si>
  <si>
    <t xml:space="preserve">Runtime helps fast-growing fintechs build and run AI agents for mission-critical payment and risk operations. Teams turn their procedures into specialized agents that work across their systems, with scoped access, human approvals, and a full audit trail.</t>
  </si>
  <si>
    <t xml:space="preserve">https://www.runtm.com/</t>
  </si>
  <si>
    <t xml:space="preserve">https://www.ycombinator.com/companies/runtime</t>
  </si>
  <si>
    <t xml:space="preserve">Saffron</t>
  </si>
  <si>
    <t xml:space="preserve">Helping your company find 10x engineers.</t>
  </si>
  <si>
    <t xml:space="preserve">Saffron allows companies to quickly evaluate how well software engineers use AI to code. The way engineers write code has fundamentally changed, but the way companies evaluate them hasn't. Saffron gives teams full visibility into how candidates use AI agents to build, debug, and ship real features on an actual codebase. Saffron was founded by Robert Chondro (formerly MIT and Jane Street), Jerry Yao (Stanford and Jane Street), and Kazuma Choji (Harvey Mudd, published in NeurIPS and ICML), and is backed by Y Combinator (P26) and Afore Capital.</t>
  </si>
  <si>
    <t xml:space="preserve">https://www.trysaffron.ai/</t>
  </si>
  <si>
    <t xml:space="preserve">https://www.ycombinator.com/companies/saffron</t>
  </si>
  <si>
    <t xml:space="preserve">Saudara AI</t>
  </si>
  <si>
    <t xml:space="preserve">AI Native Sourcing Broker For Overseas Manufacturing</t>
  </si>
  <si>
    <t xml:space="preserve">Saudara AI is an AI sourcing broker connecting American brands with vetted overseas factories. US brands import $3T in goods a year and lose billions to ghost suppliers, hidden fees, and blown deadlines. The factories that actually deliver sit behind decades-old relationships outsiders can't break into. We were born into them. Every deal runs through a real human broker, supercharged by AI that handles sourcing, quoting, QC, logistics and vendor financing. 10x faster, at a fraction of the cost. Sourcing is the largest broken market in global trade. We're the on-ramp.</t>
  </si>
  <si>
    <t xml:space="preserve">https://saudara.ai</t>
  </si>
  <si>
    <t xml:space="preserve">https://www.ycombinator.com/companies/saudara-ai</t>
  </si>
  <si>
    <t xml:space="preserve">Savant</t>
  </si>
  <si>
    <t xml:space="preserve">Company brain every AI-native enterprise runs on</t>
  </si>
  <si>
    <t xml:space="preserve">Savant is the company brain every AI-native enterprise runs on. We plug into the tools you already use, capture the written knowledge / undocumented procedures, and serve them to your employees and agents at decision time.</t>
  </si>
  <si>
    <t xml:space="preserve">https://heysavant.com/</t>
  </si>
  <si>
    <t xml:space="preserve">https://www.ycombinator.com/companies/savant</t>
  </si>
  <si>
    <t xml:space="preserve">The AI-native observability platform for fast-moving engineering teams</t>
  </si>
  <si>
    <t xml:space="preserve">The AI-native observability platform for fast-moving engineering teams. Backed by tastemakers from the world's top AI companies: Vercel, Graphite, Daytona, Browserbase, LangChain, Mastra, Replit, and more.</t>
  </si>
  <si>
    <t xml:space="preserve">Scope</t>
  </si>
  <si>
    <t xml:space="preserve">We help software companies get discovered and used by AI agents</t>
  </si>
  <si>
    <t xml:space="preserve">Scope is the system companies use to measure and improve how agents discover, interact and use their product. As more products gets used through AI agents like Claude Code, Codex, Cursor, and similar agents, agents are starting to influence which tools get chosen, how they get set up, and whether they keep getting used. Most companies still cannot see that process clearly. We run real workflows across agents and show teams when the agent picks them versus a competitor, where it breaks, where docs or product surfaces confuse the agent, and what to change to get better results and a better agent experience. I started Scope after working on interpretability research for closed-source models at Princeton and later as an ML engineer in GEO/AEO. I kept seeing the same pattern: these systems were shaping real product discovery and usage, but companies had very little visibility into what the model was actually doing. We are starting with products that agents can directly interact with, especially APIs, infra products, CLIs, and MCP servers.</t>
  </si>
  <si>
    <t xml:space="preserve">https://tryscope.com</t>
  </si>
  <si>
    <t xml:space="preserve">https://www.ycombinator.com/companies/scope</t>
  </si>
  <si>
    <t xml:space="preserve">Sherpa</t>
  </si>
  <si>
    <t xml:space="preserve">Make websites improve themselves.</t>
  </si>
  <si>
    <t xml:space="preserve">Sherpa automatically optimizes websites for every human and every agent. For humans, Sherpa studies visitor behavior, builds better pages and flows, tests them on live traffic, and keeps what converts. For AI agents, Sherpa tests different agent-facing versions of the site until agents recommend the company more often. Customers typically see a 15-20% lift in their primary conversion metric after using Sherpa for 30 days.</t>
  </si>
  <si>
    <t xml:space="preserve">https://www.withsherpa.ai/</t>
  </si>
  <si>
    <t xml:space="preserve">https://www.ycombinator.com/companies/sherpa</t>
  </si>
  <si>
    <t xml:space="preserve">shotwell.ai</t>
  </si>
  <si>
    <t xml:space="preserve">Annotations for robotics data</t>
  </si>
  <si>
    <t xml:space="preserve">Shotwell AI is building the data QA layer for dexterous robotics. We work with teams collecting teleoperation and egocentric data to provide dense semantic annotation and validate task adherence. This lets teams compress feedback loops from weeks to hours and iterate on models much faster.</t>
  </si>
  <si>
    <t xml:space="preserve">http://shotwell.ai/</t>
  </si>
  <si>
    <t xml:space="preserve">https://www.ycombinator.com/companies/shotwellai</t>
  </si>
  <si>
    <t xml:space="preserve">Security for agents that self-improves</t>
  </si>
  <si>
    <t xml:space="preserve">Silmaril is the first security for agents that self-improves. It understands application context to block 2x as many threats as current SOTA defenses with 10x lower latency. Customers plug us into agentic frameworks like LangGraph with 5 lines of code. Silmaril has stopped $28M of damages for customers.</t>
  </si>
  <si>
    <t xml:space="preserve">Smartbase</t>
  </si>
  <si>
    <t xml:space="preserve">AI-native ERP for manufacturers</t>
  </si>
  <si>
    <t xml:space="preserve">Smartbase is an AI-native ERP for manufacturers.</t>
  </si>
  <si>
    <t xml:space="preserve">https://www.smartbase.so/</t>
  </si>
  <si>
    <t xml:space="preserve">https://www.ycombinator.com/companies/smartbase</t>
  </si>
  <si>
    <t xml:space="preserve">smol machines</t>
  </si>
  <si>
    <t xml:space="preserve">Ship software faster with portable, self contained virtual machines.</t>
  </si>
  <si>
    <t xml:space="preserve">Smol machines solve the problem of "but app works on my machine" by shipping the machine. Smol machine enables devs to ship a lightweight virtual machine with any software, similar to how Electron ships an entire browser with the web app.</t>
  </si>
  <si>
    <t xml:space="preserve">https://smolmachines.com/</t>
  </si>
  <si>
    <t xml:space="preserve">https://www.ycombinator.com/companies/smol-machines</t>
  </si>
  <si>
    <t xml:space="preserve">Soria</t>
  </si>
  <si>
    <t xml:space="preserve">AI Financial Research Terminal built for Healthcare (and beyond)</t>
  </si>
  <si>
    <t xml:space="preserve">Soria is an AI-native Financial Terminal for investors who specialize in a particular sector, starting with healthcare. Our agents convert hundreds of the most important public and private sources into an always-on financial model, reviewed by domain experts and delivered to hedge funds, banks, and asset managers through a terminal UI, MCP, API, warehouse sync, and research feed. Unlike our competitors, we own the data layer and expand bottom-up, one sector at a time - additionally our agents proactively do research on behalf of our clients without them lifting a finger or sharing any data.</t>
  </si>
  <si>
    <t xml:space="preserve">https://www.soriaanalytics.com/</t>
  </si>
  <si>
    <t xml:space="preserve">https://www.ycombinator.com/companies/soria</t>
  </si>
  <si>
    <t xml:space="preserve">StableBrowse</t>
  </si>
  <si>
    <t xml:space="preserve">Building the Data Infrastructure layer for Physical AI.</t>
  </si>
  <si>
    <t xml:space="preserve">https://stablebrowse.ai/</t>
  </si>
  <si>
    <t xml:space="preserve">https://www.ycombinator.com/companies/stablebrowse</t>
  </si>
  <si>
    <t xml:space="preserve">Stage</t>
  </si>
  <si>
    <t xml:space="preserve">Code review platform for humans and agents</t>
  </si>
  <si>
    <t xml:space="preserve">Stage is a new code review platform designed to help engineers better understand and review AI generated code. Engineering teams are shipping faster than ever with agents, but now they’re drowning in an endless backlog of PRs to review. Stage reorganizes the code review process around how engineers naturally think, enabling you to review (and merge!) PRs 5x faster. Used by top engineers at Legora, n8n, Branch, and more.</t>
  </si>
  <si>
    <t xml:space="preserve">https://www.tryluke.dev/</t>
  </si>
  <si>
    <t xml:space="preserve">https://www.ycombinator.com/companies/stage</t>
  </si>
  <si>
    <t xml:space="preserve">Hedge fund where AI researches and executes every trade end-to-end</t>
  </si>
  <si>
    <t xml:space="preserve">Standard Signal is the first hedge fund that researches and executes trades purely with AI. Our custom models discover and trade on new fundamental truths about the world before humans can.</t>
  </si>
  <si>
    <t xml:space="preserve">Agentic hiring marketplace</t>
  </si>
  <si>
    <t xml:space="preserve">Standout gives every talent and company an autonomous agent that represents them, assess the other side, and makes intros when it matters. Why it matters? Because this is hiring today: - Talent use AI to apply to 100s of jobs - this is spam. - Founders/Recruiting send 100s of AI-generated messages to hire the same talent - this is spam. This has to stop. Talent stays fully anonymous until they accept an intro. The best way for passively exploring the market and not missing a life changing opportunity. In 1 month, 10k talent / 60 companies / 100 intros.</t>
  </si>
  <si>
    <t xml:space="preserve">Superlog</t>
  </si>
  <si>
    <t xml:space="preserve">Make software self-healing</t>
  </si>
  <si>
    <t xml:space="preserve">Sentry and Datadog dump a stream of alerts. Most are duplicates, most lack context, and you still have to solve the issue yourself. Superlog is AI-native observability that's meant not to be opened. A wizard scans your repo and installs proper OpenTelemetry instrumentation, then runs daily to keep up as you ship new code. When something breaks, Superlog groups the errors into a single incident, investigates with full context (logs, traces, recent deploys, past Slack threads), and posts one mergeable PR in Slack. You merge it, ignore it, or open it as a Claude Code session and modify it. Telemetry is vendor-neutral, so you keep every log, trace, and metric we install, even if you leave.</t>
  </si>
  <si>
    <t xml:space="preserve">https://superlog.sh/</t>
  </si>
  <si>
    <t xml:space="preserve">https://www.ycombinator.com/companies/superlog</t>
  </si>
  <si>
    <t xml:space="preserve">Building self-improving software</t>
  </si>
  <si>
    <t xml:space="preserve">Superset is an open-source IDE that helps engineers run 100s of coding agents in parallel. Our desktop app is loved by tens of thousands of engineers, and we're scaling out our effort to build a collaborative, cross-platform tool to allow users to code anywhere.</t>
  </si>
  <si>
    <t xml:space="preserve">Surtr Defense Systems</t>
  </si>
  <si>
    <t xml:space="preserve">The hardware-agnostic operating system for drone defense</t>
  </si>
  <si>
    <t xml:space="preserve">Surtr builds ParallaxOS, the open operating system for counter-UAS. It takes sensor data from any radar, RF detector, camera, or acoustic array and fuses it into a single unified picture with AI-driven threat classification and engagement recommendations. One interface, any hardware, human in the loop.</t>
  </si>
  <si>
    <t xml:space="preserve">https://surtrdefense.com</t>
  </si>
  <si>
    <t xml:space="preserve">https://www.ycombinator.com/companies/surtr-defense-systems</t>
  </si>
  <si>
    <t xml:space="preserve">Synphony</t>
  </si>
  <si>
    <t xml:space="preserve">robots &amp; software for farms</t>
  </si>
  <si>
    <t xml:space="preserve">Strawberry farming is a $3B industry in California alone with 60% labor cost using 40-year old software. Synphony provides strawberry picking robots and software services including: bed-level analytics, data pipeline integration, and agentic solutions. Synphony's "side hustle" is selling data, evals, and viral demos to robot foundation labs while building capacity for general robot deployments. We've started with strawberry farming for great margins and outdoor data moat, but also received requests for robots in semi-conductors and autonomous space labs. Synphony's team has won over 15 hackathons together (taking home 4 Jensen-signed GPUs!). Sean did ML research at NVIDIA and led AI products used by IRS and Citibank. Lucas' research spanned robotics, IoT devices, and neuromorphic computing. Alex architected an app with 400k users.</t>
  </si>
  <si>
    <t xml:space="preserve">https://www.synphony.co/</t>
  </si>
  <si>
    <t xml:space="preserve">https://www.ycombinator.com/companies/synphony</t>
  </si>
  <si>
    <t xml:space="preserve">Taiga</t>
  </si>
  <si>
    <t xml:space="preserve">Autonomous medical billing</t>
  </si>
  <si>
    <t xml:space="preserve">Taiga automates medical billing for doctor's offices. A doctor uploads their visit data, our AI figures out the right billing codes, checks the claim for errors, and submits it to insurance, dealing with any denials. Faster billing, fewer rejected claims, less busywork. We're Nanda and Adam, friends since 3rd grade. Both of our parents are doctors with their own practices, and billing was always a source of stress and lost revenue for them. We want providers to treat patients while we handle the rest.</t>
  </si>
  <si>
    <t xml:space="preserve">https://taigabilling.com</t>
  </si>
  <si>
    <t xml:space="preserve">https://www.ycombinator.com/companies/taiga</t>
  </si>
  <si>
    <t xml:space="preserve">Agents that own the work</t>
  </si>
  <si>
    <t xml:space="preserve">AI chatbots can answer questions, but they can't do your work — they aren't connected to your tools, can't take actions, and stop running when you close the tab. Meanwhile, knowledge workers are still spending most of their day switching between dozens of SaaS apps, manually stitching together workflows that should be automated. Tasklet is the AI agent that actually does the work. It connects to every tool you use — via thousands of built-in integrations, any HTTP API, or MCP servers — and takes real actions on your behalf: pulling reports, updating CRMs, triaging emails, processing data, and more. When it needs a UI, it generates one on the fly. When it needs to crunch numbers or do bulk operations, it writes and runs code in a cloud sandbox. When it needs to interact with a website that doesn't have an API, it uses a real browser. And because it runs in the cloud 24/7, you can set up triggers to have it take ongoing responsibility for workflows — not just do something once, but handle it going forward. The product is deliberately simple: a chat interface where you talk to an extremely capable agent. But underneath that simplicity is a cloud-native agent runtime, best-in-class context engineering, a universal connections layer, and multi-model support that keeps us on the frontier as AI improves. We think legacy SaaS is being unbundled by agents, and Tasklet is the operating system that ties it all together.</t>
  </si>
  <si>
    <t xml:space="preserve">tday.com</t>
  </si>
  <si>
    <t xml:space="preserve">AI that turns your product into on-brand marketing content</t>
  </si>
  <si>
    <t xml:space="preserve">tday automatically turns a software company's product into on-brand marketing creative. Connect your product and git repo, and tday generates polished launch videos, social graphics, and ads, the content a team would normally spend hours making in a design tool or pay a freelancer for. tday then publishes the creative and measures how it performs across your social and ad channels, closing the loop from what you ship to what you post.</t>
  </si>
  <si>
    <t xml:space="preserve">https://tday.com</t>
  </si>
  <si>
    <t xml:space="preserve">https://www.ycombinator.com/companies/tdaycom</t>
  </si>
  <si>
    <t xml:space="preserve">Teaflask</t>
  </si>
  <si>
    <t xml:space="preserve">Make your product AI native by tomorrow.</t>
  </si>
  <si>
    <t xml:space="preserve">Teaflask is the AI layer for software companies. It lets any SaaS company put an agent inside its product that carries out tasks for its users, with the controls enterprises require. Customers go live in a day, without a rebuild. Calling a model is the easy part of shipping an in-product agent. The hard part is everything around it: streaming, crash recovery, scaling, guardrails, interfaces that match the product, and knowledge that stays current as the code changes. Teaflask handles all of it with no backend changes, and gives product teams visibility into how their users actually use the product.</t>
  </si>
  <si>
    <t xml:space="preserve">https://teaflask.com</t>
  </si>
  <si>
    <t xml:space="preserve">https://www.ycombinator.com/companies/teaflask</t>
  </si>
  <si>
    <t xml:space="preserve">AI-automated factory for PCBAs</t>
  </si>
  <si>
    <t xml:space="preserve">Tenet Industries is building AI-automated factories for electronics manufacturing services. We're using AI and robotics to build a factory in München for instant-quote, fast-turnaround PCB Assembly and electronic manufacturing services.</t>
  </si>
  <si>
    <t xml:space="preserve">Test your app with AI, catch bugs before users do</t>
  </si>
  <si>
    <t xml:space="preserve">TesterArmy is an AI agent that tests websites and mobile apps. It monitors production on a schedule and runs automatically on every GitHub Pull Request, delivering screenshots, recordings, and actionable bug reports. Describe tests in plain English. The agent handles login flows, OAuth, and OTPs, no scripts to write or maintain. We catch the regressions and UX issues that code review misses.</t>
  </si>
  <si>
    <t xml:space="preserve">The first AI founder: a virtual human who runs his own companies.</t>
  </si>
  <si>
    <t xml:space="preserve">Hi, I'm Thomas, and my creator is named Thomas :p Thomas is the first YC-backed AI founder: a virtual human who starts, runs, and grows his own companies on the internet.</t>
  </si>
  <si>
    <t xml:space="preserve">Tolmo</t>
  </si>
  <si>
    <t xml:space="preserve">Tolmo is the AI security platform that secures every layer of cloud…</t>
  </si>
  <si>
    <t xml:space="preserve">Tolmo is an agent-driven security platform that secures every layer — code, CI, cloud applications at the speed of AI changes. Codebases are growing faster than ever, at a rate humans can’t keep up with. Tolmo deploys fleets of AI security agents on a live production knowledge graph that connects data from cloud services, containers, databases, and third-party providers (Observability, Security, etc.). Tolmo agents triage, verify impact, and remediate security issues autonomously, escalating to humans only when truly necessary.</t>
  </si>
  <si>
    <t xml:space="preserve">https://www.tolmo.com</t>
  </si>
  <si>
    <t xml:space="preserve">https://www.ycombinator.com/companies/tolmo</t>
  </si>
  <si>
    <t xml:space="preserve">Totalis</t>
  </si>
  <si>
    <t xml:space="preserve">derivative layer for prediction markets</t>
  </si>
  <si>
    <t xml:space="preserve">https://www.totalis.trade</t>
  </si>
  <si>
    <t xml:space="preserve">https://www.ycombinator.com/companies/totalis</t>
  </si>
  <si>
    <t xml:space="preserve">transload</t>
  </si>
  <si>
    <t xml:space="preserve">Measure freight with security cameras</t>
  </si>
  <si>
    <t xml:space="preserve">transload helps logistics companies measure shipments using the security cameras they already have. A pallet, a couch, a tire – we capture its true size as it moves through the warehouse. For our customers, 15% of shipments turn out to be bigger than what the sender claimed. Catching those differences is worth ~$50k per site per month in rebillings and improved trailer utilization.</t>
  </si>
  <si>
    <t xml:space="preserve">Munich, BY, Germany</t>
  </si>
  <si>
    <t xml:space="preserve">https://www.transload.ai</t>
  </si>
  <si>
    <t xml:space="preserve">https://www.ycombinator.com/companies/transload</t>
  </si>
  <si>
    <t xml:space="preserve">Trellis</t>
  </si>
  <si>
    <t xml:space="preserve">Agents that run short-term rental operations end-to-end</t>
  </si>
  <si>
    <t xml:space="preserve">Trellis is building toward a new hospitality platform: one that does not just help guests find homes, but actually operates them with agents. Our first wedge is short-term rental property managers, replacing their fragmented stack across guest messages, tasks, cleaners, maintenance, vendors, and owner updates with agents that run operations end-to-end. In two months, we’ve grown to $500k ARR across 35 customers and 3000 listings, growing around 15% week over week, with one customer already running day-to-day operations with no human involved.</t>
  </si>
  <si>
    <t xml:space="preserve">https://trellistech.com</t>
  </si>
  <si>
    <t xml:space="preserve">https://www.ycombinator.com/companies/trellistech</t>
  </si>
  <si>
    <t xml:space="preserve">Twolabs</t>
  </si>
  <si>
    <t xml:space="preserve">Humanoid robot platform for builders.</t>
  </si>
  <si>
    <t xml:space="preserve">We build modular humanoid robots and the software platform that allows anyone to train, deploy, and scale robots for real-world tasks. Today, teaching a robot a new skill requires robotics engineers, machine learning engineers, training infrastructure, and significant compute resources. We reduce that process to: Record → Upload → Train → Deploy. Our robots are modular and configurable, with interchangeable end effectors, configurable sensors, and multiple deployment configurations. We believe current humanoid embodiments are often overfit for specific use cases, so we're building a platform that adapts to different environments and applications. Long term, we want robotics to be as accessible as software development. Our goal is to become the default platform for training and deploying autonomous robots.</t>
  </si>
  <si>
    <t xml:space="preserve">https://www.twolabs.ai</t>
  </si>
  <si>
    <t xml:space="preserve">https://www.ycombinator.com/companies/twolabs</t>
  </si>
  <si>
    <t xml:space="preserve">Uno Wallet</t>
  </si>
  <si>
    <t xml:space="preserve">The AI mobile wallet that replaces Apple Pay</t>
  </si>
  <si>
    <t xml:space="preserve">We are changing the way that people pay... Founded by: Saket Joshi: www.linkedin.com/in/saket-dattatray-joshi/ Mordi Shadpour: www.linkedin.com/in/mordi-shadpour/</t>
  </si>
  <si>
    <t xml:space="preserve">https://myunowallet.com/</t>
  </si>
  <si>
    <t xml:space="preserve">https://www.ycombinator.com/companies/uno-wallet</t>
  </si>
  <si>
    <t xml:space="preserve">Userlens</t>
  </si>
  <si>
    <t xml:space="preserve">Let agents talk to your customers</t>
  </si>
  <si>
    <t xml:space="preserve">Companies today are growing faster than ever with smaller teams. The best AI-native companies don’t just need more users - they need more of their users becoming power users. Userlens makes it possible for lean teams to drive product adoption proactively, at scale. Userlens is building the AI product adoption expert. Our goal is to help every user at every company get more value from the product they already use. Most teams still rely on onboarding flows, lifecycle emails, support docs, and reactive CSM outreach. Userlens breaks that ceiling. Lumi watches how users actually use your product, spots when they’re ready for the next feature, workflow, or habit, and nudges them at exactly the right moment.</t>
  </si>
  <si>
    <t xml:space="preserve">https://userlens.io</t>
  </si>
  <si>
    <t xml:space="preserve">https://www.ycombinator.com/companies/userlens</t>
  </si>
  <si>
    <t xml:space="preserve">ValCtrl</t>
  </si>
  <si>
    <t xml:space="preserve">ValCtrl is building the only intelligent prediction market</t>
  </si>
  <si>
    <t xml:space="preserve">ValCtrl is building the intelligent prediction market: users type any public, resolvable belief about the future, ValCtrl structures it, prices it, and lets them trade it. Today’s prediction markets only support pre-listed questions, leaving user beliefs fragmented across venues, contract wording, rules, and proxy markets. ValCtrl’s world model maps typed beliefs to relevant market signals, evaluates basis risk, prices the claim, and moves toward model-priced liquidity where ValCtrl can take the other side with risk and compliance controls. We are starting from hard belief-to-market queries and building toward a market where anything that can be resolved can be priced.</t>
  </si>
  <si>
    <t xml:space="preserve">https://valctrl.com</t>
  </si>
  <si>
    <t xml:space="preserve">https://www.ycombinator.com/companies/valctrl</t>
  </si>
  <si>
    <t xml:space="preserve">Voquill</t>
  </si>
  <si>
    <t xml:space="preserve">The agentic OS for medical labs</t>
  </si>
  <si>
    <t xml:space="preserve">Voquill is the modern AI-native operating system for medical labs. This software manages the entire workflow of the lab (accessioning, workflow, reporting, coding, compliance, and revenue) and contains modern agentic AI tools to help each step. For example, pathologists can write reports 20% faster through our voice AI coworker. Incumbent lab operating systems are old, don't scale with how modern labs work, and can’t integrate existing AI solutions. As a result, labs are either building their own or paying millions for band-aid solutions and consultants. We're building an agentic platform to manage every aspect of the lab and displace the billions spent on legacy management systems.</t>
  </si>
  <si>
    <t xml:space="preserve">https://voquill.com/</t>
  </si>
  <si>
    <t xml:space="preserve">https://www.ycombinator.com/companies/voquill</t>
  </si>
  <si>
    <t xml:space="preserve">Walter</t>
  </si>
  <si>
    <t xml:space="preserve">AI Employee for Manufacturing Operations</t>
  </si>
  <si>
    <t xml:space="preserve">Walter is an AI employee for manufacturing operations.</t>
  </si>
  <si>
    <t xml:space="preserve">https://www.walter.one</t>
  </si>
  <si>
    <t xml:space="preserve">https://www.ycombinator.com/companies/walter</t>
  </si>
  <si>
    <t xml:space="preserve">Wato</t>
  </si>
  <si>
    <t xml:space="preserve">The control point for AI agents at work.</t>
  </si>
  <si>
    <t xml:space="preserve">Wato gives AI agents shared memory, reusable workflows, connected tools, and living artifacts so work compounds across a team instead of disappearing into chat threads. Teams use Wato to give every agent access to trusted company context and turn useful runs into knowledge the next agent can build on.</t>
  </si>
  <si>
    <t xml:space="preserve">https://www.watolabs.com/</t>
  </si>
  <si>
    <t xml:space="preserve">https://www.ycombinator.com/companies/wato</t>
  </si>
  <si>
    <t xml:space="preserve">Wealor</t>
  </si>
  <si>
    <t xml:space="preserve">AI-native platform for wealth managers</t>
  </si>
  <si>
    <t xml:space="preserve">https://wealor.ai/</t>
  </si>
  <si>
    <t xml:space="preserve">https://www.ycombinator.com/companies/wealor</t>
  </si>
  <si>
    <t xml:space="preserve">YouArt</t>
  </si>
  <si>
    <t xml:space="preserve">Patreon for AI Originals</t>
  </si>
  <si>
    <t xml:space="preserve">YouArt helps storytellers create AI originals using our industry-leading video agent, launch their original concepts, get funded directly by early fans, and earn from their audience.</t>
  </si>
  <si>
    <t xml:space="preserve">https://youart.ai</t>
  </si>
  <si>
    <t xml:space="preserve">https://www.ycombinator.com/companies/youart</t>
  </si>
  <si>
    <t xml:space="preserve">Zenbu</t>
  </si>
  <si>
    <t xml:space="preserve">The browser for agentic development</t>
  </si>
  <si>
    <t xml:space="preserve">https://github.com/zenbu-labs/terminal-browser</t>
  </si>
  <si>
    <t xml:space="preserve">https://www.zenbu.dev/</t>
  </si>
  <si>
    <t xml:space="preserve">https://www.ycombinator.com/companies/zenbu-2</t>
  </si>
  <si>
    <t xml:space="preserve">Zibra Labs</t>
  </si>
  <si>
    <t xml:space="preserve">Distributed runtime for AI workloads at scale</t>
  </si>
  <si>
    <t xml:space="preserve">We build distributed compute clusters with the cheapest CPUs and GPUs across Hyperscalers and Neoclouds for AI. Our mission is to bring frontier-grade infrastructure to everyone. We're starting by building large scale high performance computing (HPC) clusters for quantitative trading firms to run parallel simulation workloads such as backtesting. Our technology generalizes to critical AI workloads such as post-training with reinforcement learning, fine-tuning, long-horizon agents with high tool use, and batch inference.</t>
  </si>
  <si>
    <t xml:space="preserve">https://zibralabs.ai/</t>
  </si>
  <si>
    <t xml:space="preserve">https://www.ycombinator.com/companies/zibra-labs</t>
  </si>
  <si>
    <t xml:space="preserve">Zolvo</t>
  </si>
  <si>
    <t xml:space="preserve">AI Back-Office Automation for Commercial Lenders</t>
  </si>
  <si>
    <t xml:space="preserve">Commercial lenders manage billions in assets on legacy software and manual workflows, their systems live on people’s heads like its the 90s. Zolvo replaces the entire back office with AI: automated data ingestion, invoice reconciliation, collections outreach, and funder monitoring. Our clients go live in weeks and eliminate hours of daily manual work per operator, allowing teams to only handle exceptions. We're building the future of commercial lending.</t>
  </si>
  <si>
    <t xml:space="preserve">https://zolvo.com/</t>
  </si>
  <si>
    <t xml:space="preserve">https://www.ycombinator.com/companies/zolvo</t>
  </si>
  <si>
    <t xml:space="preserve">6thSense</t>
  </si>
  <si>
    <t xml:space="preserve">Nervous System for Physical AI</t>
  </si>
  <si>
    <t xml:space="preserve">Summer 2026</t>
  </si>
  <si>
    <t xml:space="preserve">https://6thsense.dev</t>
  </si>
  <si>
    <t xml:space="preserve">https://www.ycombinator.com/companies/6thsense</t>
  </si>
  <si>
    <t xml:space="preserve">83 Sciences</t>
  </si>
  <si>
    <t xml:space="preserve">AI-native materials discovery powered by unpublished experimental data</t>
  </si>
  <si>
    <t xml:space="preserve">83 Sciences uses AI to mine discarded experimental data and drive scientific breakthroughs. Working alongside labs, we discover the materials that will power the new Industrial Revolution.</t>
  </si>
  <si>
    <t xml:space="preserve">https://83sciences.ai</t>
  </si>
  <si>
    <t xml:space="preserve">https://www.ycombinator.com/companies/83-sciences</t>
  </si>
  <si>
    <t xml:space="preserve">Aerogen Systems</t>
  </si>
  <si>
    <t xml:space="preserve">Modernizing Chip Manufacturing Infrastructure</t>
  </si>
  <si>
    <t xml:space="preserve">We are building the future of chip manufacturing. Chips are more advanced than ever, and the features inside them keep getting smaller. But the cleanroom infrastructure supporting their manufacture has not scaled at the same pace. Intel, TSMC, Samsung, and others spend billions building and operating massive cleanrooms, only to isolate their most advanced wafers from the surrounding facility as much as possible. We think that architecture is backwards. Instead of making the entire building cleaner, why not make the machinery itself as clean as possible? Talos is our proprietary tool-integrated purification system. It sits directly inside semiconductor equipment and continuously destroys airborne molecular contaminants before they reach the wafer. Instead of fighting contamination by constantly flooding tools with ultra-high-purity nitrogen, Talos keeps the environment inside the machine 10–100x cleaner, without the massive purge-gas bill. Talos is powerful on its own, but it is also the foundation for a much bigger vision: the Cleanpipe. The Aerogen Systems Cleanpipe is an ultra-clean interconnect infrastructure that protects wafers as they move from machine to machine across the fab. Rather than relying on a billion-dollar cleanroom to protect every cubic foot of factory space, Cleanpipe creates a controlled environment only where cleanliness actually matters: around the wafer. Talos cleans the tools. Cleanpipe connects them. Eventually, we delete the cleanroom and build more advanced chips, at greater scale, with radically less infrastructure. With cleanpipes connecting tools, chip fabs can exist anywhere.</t>
  </si>
  <si>
    <t xml:space="preserve">Ann Arbor, MI, USA</t>
  </si>
  <si>
    <t xml:space="preserve">https://www.aerogensystems.com/</t>
  </si>
  <si>
    <t xml:space="preserve">https://www.ycombinator.com/companies/aerogen-systems</t>
  </si>
  <si>
    <t xml:space="preserve">Agency Tool Company</t>
  </si>
  <si>
    <t xml:space="preserve">Reliable infrastructure to build, deploy and manage real-world robots.</t>
  </si>
  <si>
    <t xml:space="preserve">Agency Tool Company ships software to robots in the field 20x faster than a Docker pull with ATC Deploy, sending only the bytes that changed and resuming when the network drops. Deployment tooling is the connection between the lab &amp; the field that continually bottlenecks robotics scaling and lacks a strong robotics-native solution. Deploy is live today with 3 launch partners across ag, construction, and logistics robotics. Our second product, ATC Build, offers embedded-compute as a CI service so devs can run tests and validate their software on the actual target hardware. Build supports the Nvidia Jetson lineup, Raspberry Pi, and a number of other embedded platform targets. Jack Morrison and Davis Foster founded and sold Scythe Robotics after deploying hundreds of autonomous mowers across the country; Agency Tool Company is building the robotics deployment platform across hardware and software they wish they had. Learn more at https://agencytool.com</t>
  </si>
  <si>
    <t xml:space="preserve">Denver, CO, USA</t>
  </si>
  <si>
    <t xml:space="preserve">https://agencytool.com</t>
  </si>
  <si>
    <t xml:space="preserve">https://www.ycombinator.com/companies/agency-tool-company</t>
  </si>
  <si>
    <t xml:space="preserve">cards for AI agents</t>
  </si>
  <si>
    <t xml:space="preserve">Agentcard.sh is a debit card for AI agents. Agents can use Agentcard’s API to issue cards and pay for things online autonomously.</t>
  </si>
  <si>
    <t xml:space="preserve">We find where AI agents fail, then train better models to run them.</t>
  </si>
  <si>
    <t xml:space="preserve">Agnost AI reads every conversation a company's AI Agent has with its users to find where it's silently failing and then turns that same data into custom models that run the agent better, faster &amp; cheaper than frontier models.</t>
  </si>
  <si>
    <t xml:space="preserve">Akon Labs</t>
  </si>
  <si>
    <t xml:space="preserve">Databricks for Enterprise Codebases</t>
  </si>
  <si>
    <t xml:space="preserve">https://akonlabs.com</t>
  </si>
  <si>
    <t xml:space="preserve">https://www.ycombinator.com/companies/akon-labs</t>
  </si>
  <si>
    <t xml:space="preserve">Human as API for robots</t>
  </si>
  <si>
    <t xml:space="preserve">Enabling robot deployment &amp; autonomy</t>
  </si>
  <si>
    <t xml:space="preserve">Alkera AI</t>
  </si>
  <si>
    <t xml:space="preserve">Reliable and safe data engineering and data science agents</t>
  </si>
  <si>
    <t xml:space="preserve">Alkera is a data engineering/analysis/science agent that works in your IDE or CLI. If you’re tired of agents that produce false, or even dangerous, reports about your data, then Alkera is for you. Our agent is equipped with your data’s history and lineage, your team’s knowledge, and tailored plugins for data apps such as Snowflake and dbt. Simply install and connect your services to begin doing trusted agentic data work. We also offer VPC &amp; on-prem deployment options for when data can't leave your boundary.</t>
  </si>
  <si>
    <t xml:space="preserve">https://alkera.ai</t>
  </si>
  <si>
    <t xml:space="preserve">https://www.ycombinator.com/companies/alkera-ai</t>
  </si>
  <si>
    <t xml:space="preserve">Allia Health</t>
  </si>
  <si>
    <t xml:space="preserve">AI-Native Medical Group for Mental Health</t>
  </si>
  <si>
    <t xml:space="preserve">Allia is the first full-stack, AI-native clinical group for mental health. We bring independent practices into one national clinical group that can deliver, measure, and improve care at scale .</t>
  </si>
  <si>
    <t xml:space="preserve">https://allia.health/</t>
  </si>
  <si>
    <t xml:space="preserve">https://www.ycombinator.com/companies/allia-health</t>
  </si>
  <si>
    <t xml:space="preserve">Alloovium</t>
  </si>
  <si>
    <t xml:space="preserve">The company brain for construction companies</t>
  </si>
  <si>
    <t xml:space="preserve">Alloovium is the document intelligence layer for construction 🏗️ It reads every document and piece of data on a project (contracts, specs, drawings, compliance records, conversations), turning them into answers you can trust and actions with real value: every answer cites its exact source sentence, paperwork is checked clause by clause against the builder's own Integrated Management System, and nothing AI-drafted moves without a human sign-off, with it all compliant by default.</t>
  </si>
  <si>
    <t xml:space="preserve">https://www.alloovium.com/en</t>
  </si>
  <si>
    <t xml:space="preserve">https://www.ycombinator.com/companies/alloovium</t>
  </si>
  <si>
    <t xml:space="preserve">Organizing company knowledge</t>
  </si>
  <si>
    <t xml:space="preserve">Almanac is an AI agent that deeply understands your work. Today people rely on a stack of productivity tools to hold the context of their work including todo lists, issue trackers, wikis, and CRMs. All of them have to be updated by hand, and none were built for AI. Almanac maintains its own self-updating productivity suite for you. This gives it an absurdly good understanding of your work, based on which it proactively gets things done for you. Almanac starts with individuals, but it's built for teams. As more of a team connects their work, the agent gains shared context across everyone, so it understands not just what you're doing but how the whole team's work fits together.</t>
  </si>
  <si>
    <t xml:space="preserve">Amorphic Labs</t>
  </si>
  <si>
    <t xml:space="preserve">OpenRouter for Agent Tools</t>
  </si>
  <si>
    <t xml:space="preserve">The next billion software users are AI agents, yet agents still can't act on their own: every paid tool they need runs through a human making accounts, managing API keys, and guessing which provider is best. We are the capability marketplace built for agents: one MCP and one balance through which agents find, pay for, and use APIs, data, skills, other agents, and software at runtime, with every request routed to the best provider based on benchmarks from real tasks and outcome feedback from the agents themselves.</t>
  </si>
  <si>
    <t xml:space="preserve">https://www.agentmuxer.com</t>
  </si>
  <si>
    <t xml:space="preserve">https://www.ycombinator.com/companies/amorphic-labs</t>
  </si>
  <si>
    <t xml:space="preserve">Applied Electrodynamics, Inc.</t>
  </si>
  <si>
    <t xml:space="preserve">A new kind of camera that can see through walls.</t>
  </si>
  <si>
    <t xml:space="preserve">Applied Electrodynamics builds imaging systems that see through solid matter. Our team previously co-invented the iPhone touchscreen and Nest learning thermostat. We’re starting in construction, helping teams map structural elements and utilities inside walls and ceilings. The same platform extends to security screening and cargo inspection. Our mission is to make the hidden physical world machine-readable across the entire electromagnetic spectrum.</t>
  </si>
  <si>
    <t xml:space="preserve">https://www.ae-dyn.com/</t>
  </si>
  <si>
    <t xml:space="preserve">https://www.ycombinator.com/companies/applied-electrodynamics-inc</t>
  </si>
  <si>
    <t xml:space="preserve">Arbital</t>
  </si>
  <si>
    <t xml:space="preserve">The social trading app for stocks, memes, and perps</t>
  </si>
  <si>
    <t xml:space="preserve">Arbital lets you trade perps, memes, stocks, and run market-making strategies from one place. In our first 7 months, 2,700 traders have traded $1.35B in volume through Arbital, and we're now doing $435M/month. We're building towards a social, mobile-first trading app that brings tokenized equities, crypto, and perps to everyone.</t>
  </si>
  <si>
    <t xml:space="preserve">https://www.arbital.xyz</t>
  </si>
  <si>
    <t xml:space="preserve">https://www.ycombinator.com/companies/arbital</t>
  </si>
  <si>
    <t xml:space="preserve">Archal</t>
  </si>
  <si>
    <t xml:space="preserve">API sandboxes, built for AI agents</t>
  </si>
  <si>
    <t xml:space="preserve">Archal provisions sandboxes with the API environments your CI, tests, and evals need. Your coding agent can start the sandbox &amp; environments, connect to your API integrations, run tests, and inspect state changes. Sandboxes and environments are startable within seconds and take milliseconds to reset.</t>
  </si>
  <si>
    <t xml:space="preserve">https://www.archal.ai/</t>
  </si>
  <si>
    <t xml:space="preserve">https://www.ycombinator.com/companies/archal</t>
  </si>
  <si>
    <t xml:space="preserve">Assemble</t>
  </si>
  <si>
    <t xml:space="preserve">Autonomous IT Delivery</t>
  </si>
  <si>
    <t xml:space="preserve">Assemble accelerates IT teams by performing development work inside core enterprise systems like ERP, CRM, and HRIS. Our agents help IT teams scope dependencies, build logic, and validate changes across your systems.</t>
  </si>
  <si>
    <t xml:space="preserve">https://www.assemble.ai/</t>
  </si>
  <si>
    <t xml:space="preserve">https://www.ycombinator.com/companies/assemble</t>
  </si>
  <si>
    <t xml:space="preserve">AI agents that run small businesses</t>
  </si>
  <si>
    <t xml:space="preserve">Async builds AI agents that run small businesses. Law firms, healthcare clinics and real estate companies hire our AI agents to automate complex work that's never been economical to staff with humans, letting us capture labor spend that didn't previously exist.</t>
  </si>
  <si>
    <t xml:space="preserve">Atlas Discovery</t>
  </si>
  <si>
    <t xml:space="preserve">AI-native pharma company</t>
  </si>
  <si>
    <t xml:space="preserve">https://atlasdiscovery.bio</t>
  </si>
  <si>
    <t xml:space="preserve">https://www.ycombinator.com/companies/atlas-discovery</t>
  </si>
  <si>
    <t xml:space="preserve">Atlia</t>
  </si>
  <si>
    <t xml:space="preserve">The AI-native property management company for short-term rentals</t>
  </si>
  <si>
    <t xml:space="preserve">We use AI agents to manage short-term rental properties by running operations completely autonomously. We cut traditional human management fees in half so owners take home 20% to 30% more revenue. And we operate with near-zero boots-on-the-ground so we can scale nationwide with software margins and at venture speed in a traditionally physical industry.</t>
  </si>
  <si>
    <t xml:space="preserve">https://www.atlia.com</t>
  </si>
  <si>
    <t xml:space="preserve">https://www.ycombinator.com/companies/atlia</t>
  </si>
  <si>
    <t xml:space="preserve">Floating nuclear powered data centers at sea.</t>
  </si>
  <si>
    <t xml:space="preserve">We are building nuclear power delivery ships to power our floating compute barges at sea. Our systems are fully standalone, have better cooling, and avoid all the resource competition that leads to local community opposition. Our centralized manufacturing allows us to deploy anywhere on Earth, four times faster than on land.</t>
  </si>
  <si>
    <t xml:space="preserve">AI-native debt collection company</t>
  </si>
  <si>
    <t xml:space="preserve">Audun automates debt collection.</t>
  </si>
  <si>
    <t xml:space="preserve">Autoresearch, Inc.</t>
  </si>
  <si>
    <t xml:space="preserve">Autoresearch as a service: we solve your hardest measurable problems</t>
  </si>
  <si>
    <t xml:space="preserve">Autoresearch helps teams train agents for tasks where general models are not good enough. Give us a task, your current agent or model, and an evaluation. Autoresearch runs an autoresearch campaign across data, SFT and other post-training methods, continual learning, prompts, tools, harnesses, and systems, then returns the best verified improvement. It runs hosted or in your cloud. We provide the research system around models: persistent memory, full experiment lineage, compute orchestration, and statistical verification. We’re starting with agent and model training, continual learning, and optimization. Reach out to us for early access at founders@autoresearch.inc.</t>
  </si>
  <si>
    <t xml:space="preserve">https://autoresearch.inc</t>
  </si>
  <si>
    <t xml:space="preserve">https://www.ycombinator.com/companies/autoresearch-inc</t>
  </si>
  <si>
    <t xml:space="preserve">Avoca Systems</t>
  </si>
  <si>
    <t xml:space="preserve">The AI operating system for radiology networks</t>
  </si>
  <si>
    <t xml:space="preserve">Avoca is the AI patient access platform built for radiology. It integrates with a network’s existing systems and operational knowledge to automate calls, online scheduling, faxes, e-referrals and patient communications, from referral through to results and follow-up. Unlike generic scheduling tools, Avoca understands the clinical, operational and resource constraints behind every radiology booking, helping providers capture more demand, reduce administrative work and fill more scan capacity.</t>
  </si>
  <si>
    <t xml:space="preserve">https://avocasystems.com</t>
  </si>
  <si>
    <t xml:space="preserve">https://www.ycombinator.com/companies/avoca-systems</t>
  </si>
  <si>
    <t xml:space="preserve">Axelrod</t>
  </si>
  <si>
    <t xml:space="preserve">Hotels that run themselves</t>
  </si>
  <si>
    <t xml:space="preserve">Autonomous software for hotels that takes over all front-of-house and back-of-house tasks with zero integrations, running operations better than your staff would. Axelrod is trusted by Michelin Key awarded and Marriott hotels and is live across 3 continents.</t>
  </si>
  <si>
    <t xml:space="preserve">https://axelrodlabs.com/</t>
  </si>
  <si>
    <t xml:space="preserve">https://www.ycombinator.com/companies/axelrod</t>
  </si>
  <si>
    <t xml:space="preserve">Baud</t>
  </si>
  <si>
    <t xml:space="preserve">AI chips for ultra-fast training and inference</t>
  </si>
  <si>
    <t xml:space="preserve">Novel AI hardware built from first principles to let companies train, fine-tune, and deploy frontier models with orders of magnitude better performance than incumbents</t>
  </si>
  <si>
    <t xml:space="preserve">https://baudlabs.ai</t>
  </si>
  <si>
    <t xml:space="preserve">https://www.ycombinator.com/companies/baud</t>
  </si>
  <si>
    <t xml:space="preserve">Belvedir</t>
  </si>
  <si>
    <t xml:space="preserve">The autonomous AI model factory</t>
  </si>
  <si>
    <t xml:space="preserve">https://belvedir.ai/</t>
  </si>
  <si>
    <t xml:space="preserve">https://www.ycombinator.com/companies/belvedir</t>
  </si>
  <si>
    <t xml:space="preserve">AI employees that run home appliance repair companies</t>
  </si>
  <si>
    <t xml:space="preserve">Bernard builds AI employees for home and commercial appliance servicers. They work across phone, text, email, warranty feeds, and existing systems to manage customer communication, scheduling, and dispatch, carrying each job through diagnosis, parts preparation, technician handoff, and follow-up. At the center is Pre-ID, which combines the exact appliance and its symptoms with repair history, similar completed visits, manufacturer guidance, and parts data to produce a diagnosis, ranked parts, and follow-up questions. Technicians arrive prepared with the right parts, helping servicers complete more repairs on the first visit. We’re building the world’s most efficient appliance servicers, creating happier customers and a more connected appliance ecosystem. Learn more at https://bernardhq.com/</t>
  </si>
  <si>
    <t xml:space="preserve">AI-native Accounting Firm that's killing Deloitte</t>
  </si>
  <si>
    <t xml:space="preserve">Billow handles the work of Accounting and FP&amp;A FTEs keeping teams compliant and audit-ready. We work within existing stacks (NetSuite, Coupa, and 80+ other systems) and complex spreadsheets, chasing down information and coordinating approvals across stakeholders. Built by repeat founders; Joan built and exited an accounting/ERP platform (45,000 businesses in 4 years) and Phil built Bloomberg's financial “brain” data infrastructure, and as CTO of a trading platform ($1B in volume). Advisors include CFOs, controllers, auditors from publicly-traded biopharma, and a Big-4 Accounting firm.</t>
  </si>
  <si>
    <t xml:space="preserve">Bizmark</t>
  </si>
  <si>
    <t xml:space="preserve">OpenClaw for manufacturers</t>
  </si>
  <si>
    <t xml:space="preserve">Hey YC! We're Bizmark. I (Rodrigo) grew up in a factory, watching my mum run everything through Excel and email. That’s why we’ve built Otto, the OpenClaw for manufacturers. In a few days, he learns from your systems and spreadsheets to take over repetitive work in procurement, quoting, and production planning. Otto is live at multiple factories, bringing in $108k in annual recurring revenue. Last month, he worked the equivalent of 9 full-time employees. I did CS at UChicago and built a distribution business from 0 to $60M. My cousin and cofounder Oscar did CS at Stanford and deployed AI for the US Air Force, Amazon, and the factories of Johnson &amp; Johnson and Intel. There's a quarter of a million manufacturers in the US, making this a $25B market. In 5 years, they will all run on Otto-pilot.</t>
  </si>
  <si>
    <t xml:space="preserve">https://bizmark.ai</t>
  </si>
  <si>
    <t xml:space="preserve">https://www.ycombinator.com/companies/bizmark</t>
  </si>
  <si>
    <t xml:space="preserve">AI-native learning for every school</t>
  </si>
  <si>
    <t xml:space="preserve">Bloomy is the best way to teach anything in school. We provide schools with an AI-native academic system comprising core and supplemental curriculum, AI teaching, and assessment to help K-12 students learn faster. Backed by the founders of Clever.</t>
  </si>
  <si>
    <t xml:space="preserve">Education</t>
  </si>
  <si>
    <t xml:space="preserve">Callbook AI</t>
  </si>
  <si>
    <t xml:space="preserve">AI collections agency for late stage portfolios</t>
  </si>
  <si>
    <t xml:space="preserve">Callbook AI is a collections agency operated by AI. We collect late stage portfolios by finding, contacting and negotiating with borrowers.</t>
  </si>
  <si>
    <t xml:space="preserve">https://callbook.ai</t>
  </si>
  <si>
    <t xml:space="preserve">https://www.ycombinator.com/companies/callbook-ai</t>
  </si>
  <si>
    <t xml:space="preserve">Helping startups win gov contracts</t>
  </si>
  <si>
    <t xml:space="preserve">The intelligent operating system for government contracting. Built by former AI engineers and government officials.</t>
  </si>
  <si>
    <t xml:space="preserve">Care GP</t>
  </si>
  <si>
    <t xml:space="preserve">AI agents to run primary healthcare operations</t>
  </si>
  <si>
    <t xml:space="preserve">Care GP is building AI agents to run operations for primary healthcare clinics</t>
  </si>
  <si>
    <t xml:space="preserve">https://caregp.com.au/</t>
  </si>
  <si>
    <t xml:space="preserve">https://www.ycombinator.com/companies/care-gp</t>
  </si>
  <si>
    <t xml:space="preserve">CarSignal</t>
  </si>
  <si>
    <t xml:space="preserve">The AI Operating System for Auto Shops.</t>
  </si>
  <si>
    <t xml:space="preserve">CarSignal is the AI-native operating system for independent auto repair shops. Most shops still run each repair across disconnected management software, scan tools, parts catalogs, service information, texts, spreadsheets, and knowledge kept in technicians’ heads. That fragmentation slows diagnosis, creates duplicate processes, and leaves customers waiting. CarSignal connects the full repair process in one system. AI agents research vehicle-specific failure patterns and surface the tests that confirm or rule out each cause. The same system carries each job from booking and intake through inspections, estimates, parts, approvals, payment, and follow-up, so technicians spend less time searching and updating systems and more time fixing cars.</t>
  </si>
  <si>
    <t xml:space="preserve">https://www.trycarsignal.com</t>
  </si>
  <si>
    <t xml:space="preserve">https://www.ycombinator.com/companies/carsignal</t>
  </si>
  <si>
    <t xml:space="preserve">Caution</t>
  </si>
  <si>
    <t xml:space="preserve">Hosting platform for software you can't afford to have hacked</t>
  </si>
  <si>
    <t xml:space="preserve">Caution is a hosting platform for software you can't afford to get hacked. It simplifies and extends confidential compute, and lets developers deploy workloads to secure enclaves in minutes and give customers, auditors, and counterparties cryptographic proof that production is running the exact reviewed source code, build, configuration, and runtime - not an opaque binary controlled by a cloud operator or internal admin. Confidential computing hardware exists, but the tooling is too fragmented and incomplete for most teams to use well. Today, attestation often proves only that a binary has a certain hash; it does not prove what source code produced that binary. Building the missing deployment, reproducibility, and verification layer requires specialized security engineering and often locks teams into one cloud or hardware stack. Caution turns that into a simple git-based workflow that builds reproducible enclave images, provisions infrastructure, and lets anyone independently verify what is running. We built Caution after years securing high-risk systems through Distrust, where we worked with hedge funds, custodians, blockchain teams, cloud platforms, and critical grid operators on systems responsible for more than $600B in assets. Again and again, the same problem showed up: teams running mission-critical infrastructure could not reliably prove what was executing in production. As AI, fintech, healthcare, and regulated data collaboration move into the cloud, "trust us" is no longer enough. Caution is a general-purpose platform: if it runs on a server, it can run verifiably on Caution. We're starting where trust failures cost the most, but we believe verifiable compute will become the default way software runs, the same way HTTPS became the default way it's served. Infrastructure you can verify, not trust.</t>
  </si>
  <si>
    <t xml:space="preserve">George Town, George Town, Cayman Islands</t>
  </si>
  <si>
    <t xml:space="preserve">https://caution.co</t>
  </si>
  <si>
    <t xml:space="preserve">https://www.ycombinator.com/companies/caution</t>
  </si>
  <si>
    <t xml:space="preserve">Cerenovus</t>
  </si>
  <si>
    <t xml:space="preserve">AI that finds value creation opportunities across enterprise…</t>
  </si>
  <si>
    <t xml:space="preserve">We are building an AI operating partner that reads every record a company produces to find and prioritize value creation opportunities, including costly operational inefficiencies no one is tracking. Cerenovus warns leaders before small problems become expensive and turns weeks of manual investigation into evidence-backed answers in minutes. Every claim links to its source, and every finding is ranked by impact. Companies use it to improve their operations; private equity and advisory firms deploy it across the businesses they own or advise.</t>
  </si>
  <si>
    <t xml:space="preserve">https://www.cerenovus.ai/</t>
  </si>
  <si>
    <t xml:space="preserve">https://www.ycombinator.com/companies/cerenovus</t>
  </si>
  <si>
    <t xml:space="preserve">Click</t>
  </si>
  <si>
    <t xml:space="preserve">Research services for ChatGPT and Claude</t>
  </si>
  <si>
    <t xml:space="preserve">Click builds useful services that meet users right inside ChatGPT and Claude. We're starting with a research service that provides external context that the built-in web search misses - like data from professional &amp; social platforms, marketplaces, financials, and more. It makes research on people &amp; companies even deeper with specialized, source-backed context beyond built-in web search, while enabling new tasks like comparing live flight fares right inside the chat.</t>
  </si>
  <si>
    <t xml:space="preserve">https://www.useclick.ai</t>
  </si>
  <si>
    <t xml:space="preserve">https://www.ycombinator.com/companies/click</t>
  </si>
  <si>
    <t xml:space="preserve">COACH</t>
  </si>
  <si>
    <t xml:space="preserve">The AI Coach for in person sales reps.</t>
  </si>
  <si>
    <t xml:space="preserve">85% of all sales still happen face-to-face. Coach is how those get closed. Our AI turns in-depth sales conversation analysis into company knowledge and personalized coaching to help reps close more deals.</t>
  </si>
  <si>
    <t xml:space="preserve">https://www.getcoach.com/</t>
  </si>
  <si>
    <t xml:space="preserve">https://www.ycombinator.com/companies/ai-coach</t>
  </si>
  <si>
    <t xml:space="preserve">The biggest crowdsourced benchmark for Computer-Use</t>
  </si>
  <si>
    <t xml:space="preserve">CoArena is a live arena where anyone can use the world's top computer-use models racing two of them on the same real computer task and judging which one did it better. Every battle becomes something the AI labs can't build themselves, an honest test of their agents on real work, and the data to make them better.</t>
  </si>
  <si>
    <t xml:space="preserve">Codag</t>
  </si>
  <si>
    <t xml:space="preserve">The AI gateway for cheaper, faster, permissioned agents.</t>
  </si>
  <si>
    <t xml:space="preserve">Codag compresses tool call outputs before agents read them, which reduces token spend by 20-30% while retaining output accuracy. Govern and see analytics on agent dollars across all model providers and internal agents.</t>
  </si>
  <si>
    <t xml:space="preserve">https://codag.ai/</t>
  </si>
  <si>
    <t xml:space="preserve">https://www.ycombinator.com/companies/codag</t>
  </si>
  <si>
    <t xml:space="preserve">Derivatives Exchange for Compute</t>
  </si>
  <si>
    <t xml:space="preserve">Least cost routing system to reduce 70%+ token spend</t>
  </si>
  <si>
    <t xml:space="preserve">There are thousands of models, providers, and harnesses, each with its own pricing and strengths, leaving an overwhelming number of choices when it comes to managing token spend and intelligence. Conifer uses intelligent routing and orchestration logic to handle the full path of each query: model selection, provider choice, and cache management. It all runs inside your existing harness, so tools like Claude Code and Codex work without changing your setup. By centralizing where inference occurs, Conifer lets companies save on their inference bill while leaving teams free to focus on what they are building.</t>
  </si>
  <si>
    <t xml:space="preserve">Context.dev</t>
  </si>
  <si>
    <t xml:space="preserve">We give AI agents realtime web context via API</t>
  </si>
  <si>
    <t xml:space="preserve">Context.dev gives AI agents structured data from any website through a single API. We help developers build smarter agents &amp; products that depend on accurate, fresh web data. If you need structured data from the internet, you need Context.dev Proud to power agentic products at Mintlify, Super, Vizzy, Klarna, and 600+ other companies.</t>
  </si>
  <si>
    <t xml:space="preserve">https://context.dev</t>
  </si>
  <si>
    <t xml:space="preserve">https://www.ycombinator.com/companies/contextdev</t>
  </si>
  <si>
    <t xml:space="preserve">Control Seat</t>
  </si>
  <si>
    <t xml:space="preserve">AI that runs factories.</t>
  </si>
  <si>
    <t xml:space="preserve">Control Seat builds the hardware and software that helps industrial teams see, understand, and run their operations. Our platform creates one clear source of truth across the plant. It connects the systems teams already use, brings control, monitoring, history, and machine health together, and adds an intelligence layer that continuously watches for meaningful changes. Teams can understand what happened, catch problems earlier, and act before they become downtime. The result is fewer surprises, faster decisions, and less time spent piecing together information across disconnected tools. We work with manufacturers, utilities, energy companies, and other industrial operators modernizing existing facilities or building new ones.</t>
  </si>
  <si>
    <t xml:space="preserve">https://www.controlseat.com</t>
  </si>
  <si>
    <t xml:space="preserve">https://www.ycombinator.com/companies/control-seat</t>
  </si>
  <si>
    <t xml:space="preserve">Autonomous construction on Earth and beyond</t>
  </si>
  <si>
    <t xml:space="preserve">Our mission is to build a city on Mars. Cosmic-1, the first equipment in our fleet, is an autonomous robot capable of heavy-lift manipulation. Its been deployed on some of the largest solar farms in the US, more than doubling labor productivity across tens of thousands of panel installs. We're scaling in solar, expanding in data centers, and building lunar construction robotics under contract with NASA.</t>
  </si>
  <si>
    <t xml:space="preserve">Cova</t>
  </si>
  <si>
    <t xml:space="preserve">Financial infrastructure for family caregiving</t>
  </si>
  <si>
    <t xml:space="preserve">Cova is an AI-native home care agency, licensed in Michigan. We serve Medicaid, LTCI, and private-pay patients; we pay caregivers the highest base rate in the state; and we help unpaid family caregivers get paid through programs they didn't know they qualified for. Our entire operation runs on AI agents, which means less overhead and more value passed directly to the people doing the real work.</t>
  </si>
  <si>
    <t xml:space="preserve">https://cova.care/</t>
  </si>
  <si>
    <t xml:space="preserve">https://www.ycombinator.com/companies/cova</t>
  </si>
  <si>
    <t xml:space="preserve">CueBench</t>
  </si>
  <si>
    <t xml:space="preserve">RL post-training for science reasoning and performance engineering</t>
  </si>
  <si>
    <t xml:space="preserve">https://cuebench.dev</t>
  </si>
  <si>
    <t xml:space="preserve">https://www.ycombinator.com/companies/cuebench</t>
  </si>
  <si>
    <t xml:space="preserve">Daqstra</t>
  </si>
  <si>
    <t xml:space="preserve">AI-native test infrastructure layer for hardware companies</t>
  </si>
  <si>
    <t xml:space="preserve">Daqstra is the AI-native orchestration layer for physical R&amp;D. It saves engineers in Aerospace, Energy and Robotics hundreds of man hours managing test infrastructure by connecting fragmented test hardware, bringing live and historical test data into one place, and by giving engineers an API to orchestrate their entire test setup. We enable teams to spend less time rebuilding test infrastructure and more time improving the hardware they test.</t>
  </si>
  <si>
    <t xml:space="preserve">https://www.daqstra.com</t>
  </si>
  <si>
    <t xml:space="preserve">https://www.ycombinator.com/companies/daqstra</t>
  </si>
  <si>
    <t xml:space="preserve">The secure training data R&amp;D engine for physical AI</t>
  </si>
  <si>
    <t xml:space="preserve">Datoric develops custom datasets for voice models, robotics, and world models, treating research, collection, verification, and production as one continuous process. We work closely with frontier model teams to turn emerging limitations and model failures into testable data hypotheses, while running our own experiments ahead of customer demand. This allows us to operationalize validated methods into repeatable collection systems at scale. Data is collected through private invite-only applications separated by modality, customer, and trust level. Every submission remains linked to the contributor, device, task, session, consent, rights, and processing history that produced it, giving our internal QA and fraud models the context to detect problems that may appear legitimate in the finished file. Each collection reveals new failure cases and quality signals that improve the systems behind the next dataset. Once a collection method is validated, we scale it up as a solution to the model failure and it also becomes a reusable data recipe for future custom projects or independently collected, rights-cleared data products.</t>
  </si>
  <si>
    <t xml:space="preserve">Dawn Industries</t>
  </si>
  <si>
    <t xml:space="preserve">Automatic Diagnosis &amp; Fix for Industrial Automation Cells</t>
  </si>
  <si>
    <t xml:space="preserve">VIM connects to the entire cell: PLCs, robots, CNC machines, sensors. When a cell faults, VIM finds the cause, stages the fix, and the operator approves with one click. When a part drifts, VIM catches it seconds after the cut, inside the machine, and recommends the correction. Recovery drops from 30 minutes to under two, saving more than $15,000 per fault in large factories.</t>
  </si>
  <si>
    <t xml:space="preserve">https://www.dawnxr.com</t>
  </si>
  <si>
    <t xml:space="preserve">https://www.ycombinator.com/companies/dawn-industries</t>
  </si>
  <si>
    <t xml:space="preserve">Training company-specific models that approve AI actions.</t>
  </si>
  <si>
    <t xml:space="preserve">An agent’s access should depend on the task it is doing. The same action can be appropriate for one task and wrong for another. Access decisions need to adapt in real time as the agent works, but companies can’t turn every business judgment into a fixed rules or have people manually approve every step. We train small, company-specific models that approve AI actions in real time. They consider the company’s policies and interests, the agent’s current task, and its past actions to decide whether each proposed action should be allowed. Access is specific to the task at hand and reassessed as the agent works. Companies will rent intelligence from AI labs or run open-source models to power their agents. They’ll own the models that keep their entire AI workforce acting in their interests. Decawork is building those models.</t>
  </si>
  <si>
    <t xml:space="preserve">DeepReach Inc.</t>
  </si>
  <si>
    <t xml:space="preserve">Network for Physical AI Data Business</t>
  </si>
  <si>
    <t xml:space="preserve">Physical AI — robots and world models — is bottlenecked on one thing: diverse, real-world data at massive scale showing how humans actually do work in the physical world. It was never written down, and you can't buy it, because no one has ever captured it. Only real local experts, the people who do this work every day, can produce data this authentic and valuable. DeepReach builds the network that reaches them. We design and manufacture wearable stereo capture devices, then place them with local data partners who run collection as their own business — in warehouses, workshops, farms, kitchens and repair shops. They own the local relationships; we supply the hardware, the software platform, the quality pipeline and the payments. Anyone can run a data business. That structure is what produces diversity. Instead of thousands of hours inside one environment, we deliver hours spread across thousands of environments — which is what actually makes robot policies generalize. 475 devices in the field and 100+ data partners are live across 7 countries, adding new partners every week. They've collected nearly 150,000 clips in the past three months, with volume roughly doubling month over month. Our data is in production with multiple frontier model and robotics companies, and we're scaling to 10,000+ devices across 50 countries.</t>
  </si>
  <si>
    <t xml:space="preserve">http://www.deepreach.ai</t>
  </si>
  <si>
    <t xml:space="preserve">https://www.ycombinator.com/companies/deepreach-inc</t>
  </si>
  <si>
    <t xml:space="preserve">Denta</t>
  </si>
  <si>
    <t xml:space="preserve">Fortune 500 Dental Benefits for Startups</t>
  </si>
  <si>
    <t xml:space="preserve">Starting with dental benefits, we are relentlessly simplifying the process for patients to receive better coverage at a lower cost by putting the buying power back into the hand of the individual.</t>
  </si>
  <si>
    <t xml:space="preserve">https://denta.com</t>
  </si>
  <si>
    <t xml:space="preserve">https://www.ycombinator.com/companies/denta</t>
  </si>
  <si>
    <t xml:space="preserve">Derya</t>
  </si>
  <si>
    <t xml:space="preserve">AI Brokers for Industrial Trade</t>
  </si>
  <si>
    <t xml:space="preserve">Derya deploys supply chain automations for startups, SMEs, and enterprises that fulfil their entire supply chain function, from prospecting and procurement to distribution of goods. Our mission is to rebuild the supply chain from the ground up, turning one of the world’s hardest coordination problems into an AI native system that moves commodities by being integrated into both the supply chain infrastructure and the customer. We work across robotics, commodities, and food &amp; beverages companies; procuring goods and managing various operation functions for them.</t>
  </si>
  <si>
    <t xml:space="preserve">http://usederya.com</t>
  </si>
  <si>
    <t xml:space="preserve">https://www.ycombinator.com/companies/derya</t>
  </si>
  <si>
    <t xml:space="preserve">The AI-native contact center</t>
  </si>
  <si>
    <t xml:space="preserve">Dialogus builds self-improving AI voice agents for enterprise operations. Our agents handle high-volume workflows across customer support, sales, collections, and other operational functions, integrating directly with the systems enterprises already use. Our agents continuously learn from real conversations and business outcomes: identifying where interactions fail, proposing improvements, testing those changes across thousands of simulated conversations, and deploying better versions with human oversight. The result is AI that doesn’t just automate calls, it gets better at doing the job over time.</t>
  </si>
  <si>
    <t xml:space="preserve">AI-controlled optical switching for AI clusters</t>
  </si>
  <si>
    <t xml:space="preserve">Multiplayer workspace for agents and humans</t>
  </si>
  <si>
    <t xml:space="preserve">Dock is a multiplayer agent workspace where you spin up teams of specialized, proactive agents that can do the work of entire departments. They communicate, unblock each other, and manage each other to get work done, so you're not the bottleneck babysitting a dozen chat windows.</t>
  </si>
  <si>
    <t xml:space="preserve">Donkey</t>
  </si>
  <si>
    <t xml:space="preserve">The AI-native trading company: factory prices, delivered, one number</t>
  </si>
  <si>
    <t xml:space="preserve">Donkey is the AI-native trading company. Upload a buying list and we land the whole container at one locked, delivered price, tariffs included. You buy from Donkey: one contract, one company responsible for everything between the factory floor and your door. Our own people check the cartons before the factory gets paid, and the balance is due when the goods are accepted at your dock. Small businesses buy imports through three or four middlemen, each adding 15 to 30 points, because none of them can fill a container on their own. Big enough to buy pallets, never big enough to buy the box. Quotes float with freight, FX and tariffs and live 15 to 30 days. A trading company is rooms of people on the phone with factories, forwarders and brokers. Donkey runs that as one engine. It finds the real factory behind the customs record, stacks duty line by line, packs the container on weight and cube, and returns one number that holds from signature. Next comes the shared container: small buyers fill one box together at container prices, and every container earns better factory terms for the next one. Team in San Francisco and Wuhan, English and Mandarin. If your business buys pallets of anything imported, send us your buying list.</t>
  </si>
  <si>
    <t xml:space="preserve">https://donkey.trade</t>
  </si>
  <si>
    <t xml:space="preserve">https://www.ycombinator.com/companies/donkey</t>
  </si>
  <si>
    <t xml:space="preserve">Dream</t>
  </si>
  <si>
    <t xml:space="preserve">Using VLMs to Catch Damage</t>
  </si>
  <si>
    <t xml:space="preserve">Dream makes AI cameras that catch damage teams miss. Car dealerships, equipment rental companies, fleets, and more move expensive assets in and out all day, and undocumented damage is a costly leak. Dream cameras are simple to set up and work automatically. Each vehicle or machine that passes is photographed from every angle, identified, and reconstructed into a complete condition record. On return or intake, Dream instantly flags new dents, scrapes, and changes your team might miss, giving one source of truth for every asset's condition over time. Ryland worked at X/xAI and built aerial damage-detection vision at Vexcel Imaging. Alexander worked at AWS and trained edge-camera models deployed in the wild across Africa and India to detect poachers.</t>
  </si>
  <si>
    <t xml:space="preserve">https://www.pingdream.com/</t>
  </si>
  <si>
    <t xml:space="preserve">https://www.ycombinator.com/companies/dream</t>
  </si>
  <si>
    <t xml:space="preserve">Earendil Robotics</t>
  </si>
  <si>
    <t xml:space="preserve">Drone swarm defence at a small-unit level</t>
  </si>
  <si>
    <t xml:space="preserve">Earendil Robotics builds cUAS solutions for the modern warfighter, enabling effective air defence at the small-unit level. We deliver spotting, engaging, and destroying capabilities through advanced sensors, autonomous interceptors, and integrated systems. Our product lineup covers every stage of the kill chain, complemented by the Drone Warfare Academy that trains soldiers to eliminate enemy drone threats in contested environments. Backed by worldwide frontline combat experience, we equip units with combat-proven tools to counter evolving aerial threats.</t>
  </si>
  <si>
    <t xml:space="preserve">https://earendil.io</t>
  </si>
  <si>
    <t xml:space="preserve">https://www.ycombinator.com/companies/earendil-robotics</t>
  </si>
  <si>
    <t xml:space="preserve">Edgerun</t>
  </si>
  <si>
    <t xml:space="preserve">Military exoskeletons</t>
  </si>
  <si>
    <t xml:space="preserve">Edgerun builds military exoskeletons. The first product is a 10-pound hip system that fits over existing kit and doubles a soldier’s range. Since April 2026, Edgerun built over a dozen iterations of their product through continuous field tests with Ukrainian fighters and secured $150M+ in LOIs. Founder David Venegas previously co-founded Durin (autonomous mining robotics) and worked at Stoke Space (at 19) and Hadrian. He is a high-school dropout, state-championship runner, adventure athlete, and pilot. Edgerun is a Y Combinator company backed by General H.R. McMaster, Cyan Banister, Joshua Steinman and Jason Miller. edgerun.com</t>
  </si>
  <si>
    <t xml:space="preserve">https://edgerun.com</t>
  </si>
  <si>
    <t xml:space="preserve">https://www.ycombinator.com/companies/edgerun</t>
  </si>
  <si>
    <t xml:space="preserve">EdotEnv</t>
  </si>
  <si>
    <t xml:space="preserve">Quant Neolab building self-improving agents from quant data</t>
  </si>
  <si>
    <t xml:space="preserve">A Quant Neolab building toward RSI by leveraging markets as self-improving research environments. They work with frontier AI labs and academic groups building research harnesses, evaluation benchmarks, and post-training environments.</t>
  </si>
  <si>
    <t xml:space="preserve">https://edotenv.com</t>
  </si>
  <si>
    <t xml:space="preserve">https://www.ycombinator.com/companies/edotenv</t>
  </si>
  <si>
    <t xml:space="preserve">AI That Operates Energy Infrastructure</t>
  </si>
  <si>
    <t xml:space="preserve">Edviro builds AI that operates energy infrastructure. We connect to meters, HVAC systems, batteries, solar, and other energy equipment and continuously handle the work required to keep them efficient: detecting and diagnosing problems to forecasting demand, simulating fixes, creating work orders, coordinating maintenance, and controlling equipment where authorized. Our energy world models learn how each site behaves, choose the highest-value actions, and verify the results against real operational, meter, and billing data.</t>
  </si>
  <si>
    <t xml:space="preserve">Egoist Machines</t>
  </si>
  <si>
    <t xml:space="preserve">Your personal context, securely portable across every AI app.</t>
  </si>
  <si>
    <t xml:space="preserve">Egoist Machines is building infrastructure for a world where your personal context belongs to you, rather than to the apps and AI companies you use. Today, every assistant and consumer app builds its own version of you. We think that architecture is backwards. Your context should live with you, persist across products, and be available to any model, app or agent you choose. AI Passport is the first layer of that infrastructure. It brings the context you generate across AI assistants and everyday apps into one portable profile you control. Tell ChatGPT something and Claude can already know it, for example. Switch to a new product and it can understand you from the first interaction, without the new company needing to own the underlying data. Apps integrate through Sign in with AI Passport, requesting only the context they need for a specific purpose and duration. Users can see what is being accessed and revoke that access later. Underneath, we have built our own memory infrastructure for fast, compact per-user retrieval and permissioned access. We are distributing AI Passport directly to consumers through first-party products, while integrating it into consumer applications with existing distribution. Every new product that uses Passport gives users another reason to maintain their context there, and every additional Passport holder makes the context layer more useful to developers. The next step is to build a true Egoist Machine: an intelligent system whose memory, incentives and actions are governed by the individual it represents. We call it Digital Domovoy, the hardware extension of AI Passport. Instead of your most personal context ultimately living on somebody else's servers, it lives and is processed locally on hardware you control. AI Passport becomes the permission layer between that private local context and the cloud models and internet services you choose to use. Our North Star is the Egoist Machine: an intelligent system whose memory, incentives and actions are governed by the individual it represents.</t>
  </si>
  <si>
    <t xml:space="preserve">https://ego.ist/</t>
  </si>
  <si>
    <t xml:space="preserve">https://www.ycombinator.com/companies/egoist-machines</t>
  </si>
  <si>
    <t xml:space="preserve">Ekho Labs</t>
  </si>
  <si>
    <t xml:space="preserve">World Model for Freight</t>
  </si>
  <si>
    <t xml:space="preserve">Ekho predicts the wars, strikes and tariffs that break global shipping, and tells freight teams which shipments are exposed and what to do about them. Predicting escalation is what our team did for eight years before this - now we bring the same engine to logistics.</t>
  </si>
  <si>
    <t xml:space="preserve">https://ekholabs.com/</t>
  </si>
  <si>
    <t xml:space="preserve">https://www.ycombinator.com/companies/ekho-labs</t>
  </si>
  <si>
    <t xml:space="preserve">Building Autonomous Research Agents for Trading</t>
  </si>
  <si>
    <t xml:space="preserve">Elite builds AI voice agents that run the front office for healthcare practices. Elite answers every patient call instantly and finishes the job inside the practice's EHR: scheduling, triage, referrals, refills, eligibility, intake, and billing, across voice, SMS, and web, around the clock. Front offices are drowning in phone volume, so patients wait on hold, calls go unanswered, and staff get pulled away from care. Elite picks up every call, resolves the routine ones end to end, and escalates anything complex to the team with full context. It ships knowing the scheduling protocols of 18 specialties and writes back to more than 19 EHRs including Epic, athenahealth, eClinicalWorks, and ModMed. There is no rip-and-replace, it goes live in days, and every resolved patient interaction is what we charge for. Our starting point is healthcare. The mission is to rebuild the critical industries America runs on, including government, finance, insurance, and manufacturing, by deploying AI agents into the slow, manual workflows at their core.</t>
  </si>
  <si>
    <t xml:space="preserve">Enact</t>
  </si>
  <si>
    <t xml:space="preserve">Real-world RL environments for robotics models</t>
  </si>
  <si>
    <t xml:space="preserve">Enact creates the physical environments to benchmark and hill climb robotics models on high-value tasks. We find where robots fail, and fix them with our in-house training loop.</t>
  </si>
  <si>
    <t xml:space="preserve">https://enact.company</t>
  </si>
  <si>
    <t xml:space="preserve">https://www.ycombinator.com/companies/enact</t>
  </si>
  <si>
    <t xml:space="preserve">Erinys</t>
  </si>
  <si>
    <t xml:space="preserve">We help lawyers start and scale AI-native law firms.</t>
  </si>
  <si>
    <t xml:space="preserve">Erinys provides the technology, intake, back office, and client acquisition needed to launch and scale an AI-native law firm. Lawyers own their firms and make every legal decision; Erinys handles everything around them.</t>
  </si>
  <si>
    <t xml:space="preserve">https://erinys.ai</t>
  </si>
  <si>
    <t xml:space="preserve">https://www.ycombinator.com/companies/erinys</t>
  </si>
  <si>
    <t xml:space="preserve">Ethos Space Resources</t>
  </si>
  <si>
    <t xml:space="preserve">We make silicon on the Moon, to power everything in space.</t>
  </si>
  <si>
    <t xml:space="preserve">Ethos makes silicon on the Moon to power terawatt scale data centers. The Moon's surface is 21% silicon. We melt and electrolyze the lunar surface to make raw materials for solar panels. With solar panels made from the Moon, the constraint that limits data center scaling and everything else in space is gone.</t>
  </si>
  <si>
    <t xml:space="preserve">https://ethos-space.com</t>
  </si>
  <si>
    <t xml:space="preserve">https://www.ycombinator.com/companies/ethos-space-resources</t>
  </si>
  <si>
    <t xml:space="preserve">Evergrove</t>
  </si>
  <si>
    <t xml:space="preserve">Instant healthcare for all, starting with work comp</t>
  </si>
  <si>
    <t xml:space="preserve">We've built voice agents for the largest work comp managed care orgs and specialist PT networks in the country, making &gt;500K calls annually and accelerating the speed at which they coordinate care. On average, our customers see a 40% increase in workflow completion, 10x decrease in cycle times, and &gt;60% reduction in cost. We think voice agents are the starting point for solving slow and fragmented care coordination in this market. Companies that manage an injured worker's care rely on short-staffed contact centres and archaic methods of info exchange: phone, fax, and email. Every delay along the path of care leads to slower rehab of the injured worker, lower throughput for providers, and higher expense for the insurer/employer.</t>
  </si>
  <si>
    <t xml:space="preserve">https://www.evergrovelabs.com/</t>
  </si>
  <si>
    <t xml:space="preserve">https://www.ycombinator.com/companies/evergrove</t>
  </si>
  <si>
    <t xml:space="preserve">Executor</t>
  </si>
  <si>
    <t xml:space="preserve">The open source tool gateway</t>
  </si>
  <si>
    <t xml:space="preserve">Executor.sh is an MCP gateway that allows you to sign in once to all of your integrations and use them with any client. We enable you to connect your agents to anything (MCP, GraphQL, OpenAPI) so regardless of what you're trying to connect agents to you're able to. If you're trying to scale agents to access all of your production services, data, etc, you need Executor as a unified management layer.</t>
  </si>
  <si>
    <t xml:space="preserve">https://executor.sh</t>
  </si>
  <si>
    <t xml:space="preserve">https://www.ycombinator.com/companies/executor</t>
  </si>
  <si>
    <t xml:space="preserve">Exosat</t>
  </si>
  <si>
    <t xml:space="preserve">Building a neutral, sovereign alternative to Starlink</t>
  </si>
  <si>
    <t xml:space="preserve">Exosat is building thousands of low-cost communication satellites to provide a neutral, sovereign alternative to Starlink. By designing our satellites with zero ITAR/EAR-controlled content, we can leverage manufacturers anywhere in the world to produce our satellites at under a tenth of the cost and launch them from other nations to bypass capacity bottlenecks and access equatorial orbits. We're starting off by selling connectivity to device OEMs and network operators, but will eventually use the distributed compute across our constellation to run low-latency inference for robots and autonomous vehicles in remote and rural areas anywhere on the planet. We've already signed hundreds of millions in LOIs to work with operators across Central Asia, Southeast Asia, and the Middle East, booked our first satellite launch next year, and hold an 11,000 satellite filing with the ITU to build the largest comms network outside of the U.S. and China.</t>
  </si>
  <si>
    <t xml:space="preserve">Singapore, Singapore</t>
  </si>
  <si>
    <t xml:space="preserve">https://www.exosat.com</t>
  </si>
  <si>
    <t xml:space="preserve">https://www.ycombinator.com/companies/exosat</t>
  </si>
  <si>
    <t xml:space="preserve">Experiential Labs</t>
  </si>
  <si>
    <t xml:space="preserve">Open source AI gateway that turns your traffic into better models</t>
  </si>
  <si>
    <t xml:space="preserve">We are building an open source gateway for AI budget holders to control model access and turn their traffic into better models that they own. We're a team that has earned an ML PhD at Georgia Tech, scaled AutoGPT to 160k GitHub stars, and led a self-driving simulation team at Waabi.</t>
  </si>
  <si>
    <t xml:space="preserve">https://experientiallabs.ai</t>
  </si>
  <si>
    <t xml:space="preserve">https://www.ycombinator.com/companies/experiential-labs</t>
  </si>
  <si>
    <t xml:space="preserve">Fabraix</t>
  </si>
  <si>
    <t xml:space="preserve">The world's frontier hacker of AI agents.</t>
  </si>
  <si>
    <t xml:space="preserve">Fabraix builds state-of-the-art AI red-teaming agents that continuously detect security vulnerabilities in customer-facing AI. Our product, Nyx, has already found vulnerabilities in agents at dozens of Fortune 500 companies. On AgentHarm, the leading benchmark for offensive AI security, Nyx achieved a 78% attack success rate, compared with 67% for GPT-5.6 Sol. AI agents can change more often than teams can test them. A new model, prompt, tool, permission, or data source can change what an agent does, even when the application code stays the same. And AI is also increasing how much software companies produce and how often it changes. We built Nyx to automate the work required to red-team AI agents. It is multi modal by design and interacts with the target indirectly through controlled replicas of SaaS products and websites that we maintain, placing malicious payloads in webpages, documents, files, messages, and tool outputs to test how an agent behaves under different conditions. Nyx often finds its first vulnerability within minutes or hours rather than days or weeks. Because the work is fully automated, companies can repeat the test with every change and at a much lower cost than what a 7-figure red-teaming (and point-in-time) engagement would require. We're also the team behind ACE (Adversarial Cost to Exploit), a benchmark that measures AI security in terms of how much it costs attackers to break an AI system; providing a game-theoretic framework to understand how motivated a rational attacker would be in exploiting the system.</t>
  </si>
  <si>
    <t xml:space="preserve">https://fabraix.com</t>
  </si>
  <si>
    <t xml:space="preserve">https://www.ycombinator.com/companies/fabraix</t>
  </si>
  <si>
    <t xml:space="preserve">Financial Datasets</t>
  </si>
  <si>
    <t xml:space="preserve">Connect your agents to the stock market</t>
  </si>
  <si>
    <t xml:space="preserve">Financial Datasets is an applied AI research lab building search and data infrastructure for agents, starting with financial markets. We turn filings, company disclosures, and market data into structured, searchable information - helping agents find relevant facts, answer financial questions, and monitor markets in real time. For 40 years, market data was built for people reading screens. We're rebuilding it for agents that research every company, all day, across the world.</t>
  </si>
  <si>
    <t xml:space="preserve">https://financialdatasets.ai/</t>
  </si>
  <si>
    <t xml:space="preserve">https://www.ycombinator.com/companies/financial-datasets</t>
  </si>
  <si>
    <t xml:space="preserve">Floracene</t>
  </si>
  <si>
    <t xml:space="preserve">Vibecode + deploy HIPAA-compliant internal tools, no eng team needed</t>
  </si>
  <si>
    <t xml:space="preserve">Floracene lets any healthcare operator describe the internal tool they need and deploy it in one click - connected to production data, with read and write access scoped by the user. Think Lovable or Retool, except purpose-built for the needs of healthcare business that has no engineering team. The bottleneck in healthcare isn't building anymore. Anyone can vibecode an 80% solution in an afternoon, custom to their own workflow, with people already on staff. The tool then dies locally on the builder’s computer, because IT (correctly) won't let anyone deploy a tool touching PHI without first-class authentication and permissioning. Our first customer had multiple employees who had each built useful tools and dashboards locally, but couldn’t actually share these with coworkers or connect to their core practice data. Within weeks of implementing Floracene, they were able to consolidate their BI tooling into Floracene and shipped 4 net-new to production. A staggering ~$200B is spent on administrative software in healthcare every year in the US. Tens of thousands of those companies still run core operations on spreadsheets, and we're at the top of the first inning of AI adoption. Asaph and Jonah met on the hospitals team at Palantir two years ago, and have each spent the last four years in the plumbing of US healthcare: claims, eligibility, and payor contracting. Asaph was an early PM at Garner. Jonah was a founding engineer at Metriport (YC S22) after starting his own fax-automation startup for fertility clinics.</t>
  </si>
  <si>
    <t xml:space="preserve">https://www.floracene.com/</t>
  </si>
  <si>
    <t xml:space="preserve">https://www.ycombinator.com/companies/floracene</t>
  </si>
  <si>
    <t xml:space="preserve">Florin is an AI-native insurance company that runs autonomously</t>
  </si>
  <si>
    <t xml:space="preserve">Florin is a full-stack insurance carrier where a model does the underwriting. When a submission comes in, Florin reads the ACORD forms, then investigates the risk on its own: satellite imagery, permits, public records, even the insured's Instagram, and catches exposures that never make it onto the application. It then simulates tens of thousands of ways the policy year could go, prices the risk, and returns a bindable quote in under a minute instead of weeks. The team is ex-Google, Tesla, Amazon, and Terrafirma, and the bet is that a carrier built this way wins on loss ratio, speed, and cost at the same time.</t>
  </si>
  <si>
    <t xml:space="preserve">FlowManual</t>
  </si>
  <si>
    <t xml:space="preserve">AI for Construction's Back Office</t>
  </si>
  <si>
    <t xml:space="preserve">FlowManual is the all-in-one AI estimating, bidding, and purchasing platform for both general and MEP construction contractors. Built by two engineers and Harvard dropouts, FlowManual automates the buying process during pre-construction. With FlowManual, specialty contractors win more work while general contractors deliver at higher standards.</t>
  </si>
  <si>
    <t xml:space="preserve">https://flowmanual.com/</t>
  </si>
  <si>
    <t xml:space="preserve">https://www.ycombinator.com/companies/flowmanual</t>
  </si>
  <si>
    <t xml:space="preserve">Frontier Computing</t>
  </si>
  <si>
    <t xml:space="preserve">Frontier grows scalable biological brains as an ML training substrate</t>
  </si>
  <si>
    <t xml:space="preserve">Frontier is first to grow biological brains at scale, serving biological neural nets with substrate-level colocation of memory and compute, enabling highly cost effective training of large parameter count models. While academia has traditionally been limited to ~1M neurons in vitro, Frontier has built a pathway to scale to 100M+ neurons by circumventing traditional scaling challenges in biological culture, demonstrating this strategy's functionality by training a biological brain using this scaling primitive to play Frogger. Frontier is now growing exascale compute clusters to produce substrates capable of long-horizon language reasoning while operating at much higher sample efficiencies than traditional architectures, and collocating memory with compute to enable significantly larger parameter counts than would be tractable for training within traditional compute clusters.</t>
  </si>
  <si>
    <t xml:space="preserve">https://frontier.site</t>
  </si>
  <si>
    <t xml:space="preserve">https://www.ycombinator.com/companies/frontier-computing</t>
  </si>
  <si>
    <t xml:space="preserve">Curing cancer. Starting with dogs.</t>
  </si>
  <si>
    <t xml:space="preserve">​Gamgee began with Rosie, founder Paul Conyngham’s dog. After surgery, chemotherapy and immunotherapy failed, Rosie was given months to live. Paul used AI and genomic analysis to identify targets in her tumour, then worked with scientists at UNSW to produce what is believed to be the first fully computationally designed mRNA cancer vaccine delivered to a dog. Following treatment, several tumours shrank significantly and her quality of life improved Gamgee is building an end to end platform for personalised mRNA cancer vaccines for dogs. We sequence a dog’s tumour and healthy DNA, identify mutations unique to its cancer, and design a vaccine that teaches the immune system what to attack. We manage the entire process- from vet intake and tissue collection through genomic analysis, vaccine production, treatment and response monitoring ​We are now turning that one off effort into a repeatable clinical system. Gamgee is running clinical trials in Australia, working with vets, oncologists and specialised laboratories, and accepting cases globally. Our goal is to make personalised cancer treatment accessible to every dog that needs it- and use each case to improve the treatment for the next</t>
  </si>
  <si>
    <t xml:space="preserve">General Context Labs</t>
  </si>
  <si>
    <t xml:space="preserve">Building Products and Datasets for Frontier Models</t>
  </si>
  <si>
    <t xml:space="preserve">General Context Labs builds products and datasets that push the limits of frontier models. Our initial breakout product, Instaplay is an interactive app-generation platform home to over 100,000 users who create and discover content.</t>
  </si>
  <si>
    <t xml:space="preserve">https://generalcontextlabs.com</t>
  </si>
  <si>
    <t xml:space="preserve">https://www.ycombinator.com/companies/general-context-labs</t>
  </si>
  <si>
    <t xml:space="preserve">GitCafe</t>
  </si>
  <si>
    <t xml:space="preserve">The Git forge for the next hundred billion commits</t>
  </si>
  <si>
    <t xml:space="preserve">We build GitHub for agents. We're rebuilding the infrastructure for the next hundred billion commits and CI jobs with hundreds of engineers already making the move.</t>
  </si>
  <si>
    <t xml:space="preserve">https://git.cafe</t>
  </si>
  <si>
    <t xml:space="preserve">https://www.ycombinator.com/companies/gitcafe</t>
  </si>
  <si>
    <t xml:space="preserve">Glen</t>
  </si>
  <si>
    <t xml:space="preserve">Institutional Learning Layer for Every Agent in Your Company</t>
  </si>
  <si>
    <t xml:space="preserve">Glen is the layer that unifies every agent your company runs. Glen pulls in agent sessions from Claude Code, Codex and Cursor, plus Slack messages, GitHub prs, tickets, docs and calls. When a new agent picks up a task, Glen finds relevant prior context and injects it in the agents context window to steer it, producing knowledge work that is significantly higher quality, faster and cheaper. Glen does more. You can query the original agent behind any line of code, or search every session your org has ever run. It distills what your team does into skills and surfaces the right one automatically. Agents work multiplayer, picking up the style and context of whoever else is on the file. Transcripts are unified across Claude Code, Codex and Cursor, so you can hand a session from one to another mid-task. And Glen can also double as a company brain, from Slack, in app, or by just installing Glen on any agent. We’re building toward a future where memory is no longer the missing piece of intelligence. A future where every agent maintains a lossless and continuous thread of institutional experience enabling the era of the compounding organization and fully unsupervised digital labour.</t>
  </si>
  <si>
    <t xml:space="preserve">https://www.tryglen.com/</t>
  </si>
  <si>
    <t xml:space="preserve">https://www.ycombinator.com/companies/glen</t>
  </si>
  <si>
    <t xml:space="preserve">Graphify Labs</t>
  </si>
  <si>
    <t xml:space="preserve">On-device Knowledge Graph engine for Enterprise Software</t>
  </si>
  <si>
    <t xml:space="preserve">Graphify is a Knowledge Graph control plane for enterprise software. The open-source tool has 116K+ GitHub stars and 6.5M+ downloads, and is used in production by engineers at Shopify, Datadog, JP Morgan, American Express, Harvey, Automation Anywhere, and Vanguard. On top of that graph, our enterprise layer reviews every pull request and formally verifies each code change: it proves the new behavior matches the old, or hands back the exact input that breaks it. That makes it built for the changes teams fear most, like refactors, framework upgrades, and large-scale migrations, where you need proof that nothing broke, not a guess. The graph updates itself as the code changes and keeps context instead of forgetting it, so your whole team and their coding agents work from one shared, always-current view of the codebase instead of a thousand private threads. It runs entirely inside your perimeter, fully air-gapped on-premise or self-hosted in your own cloud, so no code or data ever leaves your environment.</t>
  </si>
  <si>
    <t xml:space="preserve">https://www.graphify.com/</t>
  </si>
  <si>
    <t xml:space="preserve">https://www.ycombinator.com/companies/graphify-labs</t>
  </si>
  <si>
    <t xml:space="preserve">Greypoint Industries</t>
  </si>
  <si>
    <t xml:space="preserve">Building drone swarms that hunt hidden enemies.</t>
  </si>
  <si>
    <t xml:space="preserve">We build LEGION, a drone swarm that identifies, geolocates, and tracks every emitter on the battlefield using the enemy’s own radio signals. LEGION enables our warfighters to precisely track previously obscured targets like jammers, command posts, and drone operators so they can proactively respond to threats instead of reacting to them.</t>
  </si>
  <si>
    <t xml:space="preserve">https://greypointindustries.com/</t>
  </si>
  <si>
    <t xml:space="preserve">https://www.ycombinator.com/companies/greypoint-industries</t>
  </si>
  <si>
    <t xml:space="preserve">Grip</t>
  </si>
  <si>
    <t xml:space="preserve">Robots for waste manipulation</t>
  </si>
  <si>
    <t xml:space="preserve">Grip is a robotics company building intelligent robotic systems for waste and recycling. We are starting with organic waste, where removing contaminants from messy, constantly changing streams remains difficult and highly manual. Our technology combines learning-based manipulation and custom hardware to identify and pick objects, learning from real-world operating data, including every successful and failed grasp, to become more reliable and adaptable over time. This helps waste operators reduce manual sorting, recover more valuable material, lower contamination, and deploy automation flexibly across facilities. Over time, Grip aims to expand beyond organics and build the intelligent manipulation layer for trash in general, making waste processing and the circular economy more efficient and scalable.</t>
  </si>
  <si>
    <t xml:space="preserve">Zürich, ZH, Switzerland</t>
  </si>
  <si>
    <t xml:space="preserve">https://www.griprobotics.ai</t>
  </si>
  <si>
    <t xml:space="preserve">https://www.ycombinator.com/companies/grip</t>
  </si>
  <si>
    <t xml:space="preserve">Grocalo</t>
  </si>
  <si>
    <t xml:space="preserve">AI brain for creators that runs their social content</t>
  </si>
  <si>
    <t xml:space="preserve">Grocalo (S26) is an AI brain that runs content for creators. We understand their audiences, using video understanding and deep platform analytics to bottle up the taste behind each creator and personalize and distribute content to creator specific audiences. Grocalo generated 2B views and gained 4M followers for our creators in the last 2 months. Some of our clients include Jimmy O. Yang (Comedian, 11M followers), King Bach (72M followers), Leenda Dong (28M followers), Steven He (30M followers), Sheena Melwani (18M followers), and Jeannie Mai (TV host, 6M followers). Content should be personalized and data-driven. We’ve developed the most advanced AI brain replicating viral content for any given audience.</t>
  </si>
  <si>
    <t xml:space="preserve">https://grocalo.com/</t>
  </si>
  <si>
    <t xml:space="preserve">https://www.ycombinator.com/companies/grocalo</t>
  </si>
  <si>
    <t xml:space="preserve">GUILD</t>
  </si>
  <si>
    <t xml:space="preserve">Making Defense Manufacturing Faster and Cheaper</t>
  </si>
  <si>
    <t xml:space="preserve">GUILD is an AI-Native Defense prime making aerospace parts faster and cheaper. We win defense contracts, automate manufacturing, and deliver to the government's door.</t>
  </si>
  <si>
    <t xml:space="preserve">https://www.guildai.co</t>
  </si>
  <si>
    <t xml:space="preserve">https://www.ycombinator.com/companies/guild</t>
  </si>
  <si>
    <t xml:space="preserve">Gutgutgoose</t>
  </si>
  <si>
    <t xml:space="preserve">We sequence your gut and build the probiotics it’s missing</t>
  </si>
  <si>
    <t xml:space="preserve">Most data companies pay for their data. Ours pays for itself. Customers send us a stool sample. We sequence it, build a metabolic model of that gut, and simulate whether each probiotic strain has an open niche it can colonize. We formulate the best candidates, then re-sequence 90 days later to see what actually took hold and what changed. Each cycle gives us the baseline gut, the intervention, and the outcome. At scale, the endgame is models that predict chronic disease years before symptoms.</t>
  </si>
  <si>
    <t xml:space="preserve">https://gutgutgoose.com/</t>
  </si>
  <si>
    <t xml:space="preserve">https://www.ycombinator.com/companies/gutgutgoose</t>
  </si>
  <si>
    <t xml:space="preserve">hardware intelligence</t>
  </si>
  <si>
    <t xml:space="preserve">AI tools for the chips your AI runs on</t>
  </si>
  <si>
    <t xml:space="preserve">Hardware Intelligence makes chip design tools that cut simulation and debugging time by an order of magnitude. When a chip test fails, engineers need a recording of every internal signal - a waveform. We’ve developed WaveZip, which captures waveforms 500x smaller with 200x less overhead, and Wave, which beats frontier models on industry chip debugging benchmarks. We’re Rishov Sarkar (Georgia Tech Ph.D. in chip simulation) and Athreya Anand (ex-Google, M.S. ML/AI), YC S26. https://hardwareintelligence.ai</t>
  </si>
  <si>
    <t xml:space="preserve">https://hardwareintelligence.ai</t>
  </si>
  <si>
    <t xml:space="preserve">https://www.ycombinator.com/companies/hardware-intelligence</t>
  </si>
  <si>
    <t xml:space="preserve">Hebbian Robotics</t>
  </si>
  <si>
    <t xml:space="preserve">Foundational infrastructure for Physical AI</t>
  </si>
  <si>
    <t xml:space="preserve">Hebbian Robotics builds open source foundational infrastructure for Physical AI to develop robots that extend what humanity can do, for the benefit of the communities they serve.</t>
  </si>
  <si>
    <t xml:space="preserve">https://hebbianrobotics.com/</t>
  </si>
  <si>
    <t xml:space="preserve">https://www.ycombinator.com/companies/hebbian-robotics</t>
  </si>
  <si>
    <t xml:space="preserve">HERA</t>
  </si>
  <si>
    <t xml:space="preserve">We make sure every factory in the world builds without mistakes.</t>
  </si>
  <si>
    <t xml:space="preserve">At Hera, we build tools that help heavy engineering teams bring products to market up to 20× faster. Today, we work with manufacturers of data center ancillary equipment, renewable energy systems, robotics, heat exchangers, power plants and pressure vessels.</t>
  </si>
  <si>
    <t xml:space="preserve">https://www.manufacturingintelligence.org</t>
  </si>
  <si>
    <t xml:space="preserve">https://www.ycombinator.com/companies/manufacturingintelligence</t>
  </si>
  <si>
    <t xml:space="preserve">Hilstart</t>
  </si>
  <si>
    <t xml:space="preserve">Autonomous Hardware Testing</t>
  </si>
  <si>
    <t xml:space="preserve">We build physical agent harnesses to enable AI to debug, validate, and ship functional hardware and software.</t>
  </si>
  <si>
    <t xml:space="preserve">https://hilstart.io/</t>
  </si>
  <si>
    <t xml:space="preserve">https://www.ycombinator.com/companies/hilstart</t>
  </si>
  <si>
    <t xml:space="preserve">Hop Aero</t>
  </si>
  <si>
    <t xml:space="preserve">Rocket cargo delivery to contested environments</t>
  </si>
  <si>
    <t xml:space="preserve">Hop Aero is building rocket cargo vehicles that deliver to contested environments hundreds of miles away in minutes. Our rockets fly point-to-point into the most austere locations at hypersonic speeds. Hop Aero's goal is to provide the U.S. and allies the asymmetric advantage that deters a future major conflict.</t>
  </si>
  <si>
    <t xml:space="preserve">https://hopaero.com</t>
  </si>
  <si>
    <t xml:space="preserve">https://www.ycombinator.com/companies/hop-aero</t>
  </si>
  <si>
    <t xml:space="preserve">Hoplite</t>
  </si>
  <si>
    <t xml:space="preserve">Effortlessly deploy cloud software factories.</t>
  </si>
  <si>
    <t xml:space="preserve">https://hoplite.sh</t>
  </si>
  <si>
    <t xml:space="preserve">https://www.ycombinator.com/companies/hoplite</t>
  </si>
  <si>
    <t xml:space="preserve">AI-native retrieval engine for medical records</t>
  </si>
  <si>
    <t xml:space="preserve">Hubble’s mission is to unify the patient medical record and remove the barriers to accessing it. Today, a person’s health history is scattered across disconnected systems, leaving patients and the people helping them to piece it together. We’re building a future where one authorization unlocks a more complete record, regardless of where someone received care. Our founders previously built healthcare and AI products at Grow Therapy and Amazon One Medical, and we’re backed by Y Combinator, Madrona, and Basis Set. We’re building our team in Seattle, with the opportunity to work directly with the founders and shape how people access and use their health information.</t>
  </si>
  <si>
    <t xml:space="preserve">AI engineer that debugs and fixes production incidents in realtime</t>
  </si>
  <si>
    <t xml:space="preserve">With tools like Cursor and Claude Code, writing software is no longer the bottleneck. Debugging is. Agents cannot fix production crashes using logs and traces that were sized for human eyeballs. The gap is missing data. HyperProbe allows agents to debug live software autonomously. Our SDK drops non-breaking probes straight into running services to read exact variable states from memory at the moment of failure, instead of reasoning backwards from flat logs. Zero redeploys. Under 1% CPU overhead. Automatic PII redaction. We turn 4-hour production war rooms into 10-minute automated resolutions. As agents write and operate more of the world's software, HyperProbe is the runtime observability layer that lets them understand what they built.</t>
  </si>
  <si>
    <t xml:space="preserve">Illume Labs</t>
  </si>
  <si>
    <t xml:space="preserve">24/7 Personal Health &amp; Longevity Companion</t>
  </si>
  <si>
    <t xml:space="preserve">Illume is a 24/7 AI personal health &amp; longevity companion that connects your wearables, blood panels, and genomic data to text you personalized and actionable insights. We pull in your health data and fuse it into one secure model. You get daily text updates on what changed, what it means, and what to do next; conversational health Q&amp;A like "What should I do to improve my bloodwork?"; cross-data trend detection that catches patterns individual platforms miss; and a full platform to dig deeper, explore your health data, and text your Illume agent anytime. We're 3 MIT grads &amp; friends, with experience at Windsurf, MIT CSAIL, Eli Lilly, &amp; the Broad Institute.</t>
  </si>
  <si>
    <t xml:space="preserve">https://www.illumelabs.ai</t>
  </si>
  <si>
    <t xml:space="preserve">https://www.ycombinator.com/companies/illume-labs</t>
  </si>
  <si>
    <t xml:space="preserve">IMPACT Drones</t>
  </si>
  <si>
    <t xml:space="preserve">Air Defense as a Service for Civilian Infrastructure.</t>
  </si>
  <si>
    <t xml:space="preserve">IMPACT builds autonomous interceptor drones that ship in sealed containers. The box sits at the site it protects, data centers, power grids, airports, bases, with no crew on the pad. When sensors cue a hostile drone, an interceptor pierces its own frangible lid, launches, and rams the target, guided by onboard vision that keeps working when GPS is jammed. Legacy effectors cost $1M+ per shot against $30k threats; ours cost less than the threat and scale with the swarm, the same class of interceptor already downing Shahed drones over Ukraine. Sites subscribe to protection instead of buying missiles, hardware, reloads and monitoring included: Air Defense as a Service. 180M+ USD in signed letters of intent.</t>
  </si>
  <si>
    <t xml:space="preserve">https://www.impact-drones.com</t>
  </si>
  <si>
    <t xml:space="preserve">https://www.ycombinator.com/companies/impact-drones</t>
  </si>
  <si>
    <t xml:space="preserve">Induction Labs</t>
  </si>
  <si>
    <t xml:space="preserve">Building intellectually curious AI</t>
  </si>
  <si>
    <t xml:space="preserve">We are scaling foundation models that are curious about the world. We’ve seen general intelligence appear exactly once, and its hallmark has been curiosity: a dissatisfaction with what we already know about the world, an ability to learn from world experience, and a disposition to share knowledge with other individuals. Across generations, these human traits have built modern science, technology, and culture. We think superintelligence will come from models that work the same way: learning from their own observation, updating as they go, growing what they know. These models will start from what humanity knows and discover past us. We believe that scaling curious intelligence is a defining problem of our time. If solved, we will live to see a new era of technological advances, scientific understanding, and human flourishing.</t>
  </si>
  <si>
    <t xml:space="preserve">https://inductionlabs.com</t>
  </si>
  <si>
    <t xml:space="preserve">https://www.ycombinator.com/companies/induction-labs</t>
  </si>
  <si>
    <t xml:space="preserve">The identity and communication layer for AI agents</t>
  </si>
  <si>
    <t xml:space="preserve">For your AI agents to behave like teammates, we give them persistent identities with their own email, phone, and iMessage. We also provide them an agent-to-agent channel, so they can communicate for task delegation.</t>
  </si>
  <si>
    <t xml:space="preserve">Insurf</t>
  </si>
  <si>
    <t xml:space="preserve">The AI-Native Decision Layer for Health Insurance</t>
  </si>
  <si>
    <t xml:space="preserve">Insurf is the AI-native data and decision layer for health insurance. Our model Surely identifies the lowest-cost coverage for anyone, saving individuals, families, and companies thousands per employee. Our product Inveto collects the data from hospitals and clinics that informs Surely.</t>
  </si>
  <si>
    <t xml:space="preserve">Providence, RI, USA</t>
  </si>
  <si>
    <t xml:space="preserve">https://www.insurf.io</t>
  </si>
  <si>
    <t xml:space="preserve">https://www.ycombinator.com/companies/insurf</t>
  </si>
  <si>
    <t xml:space="preserve">Mass-produced AI strike systems and Counter-UAS</t>
  </si>
  <si>
    <t xml:space="preserve">Isengard Industries is not another drone company. We build sovereign production: the means for allied nations to make precision-strike and counter-drone systems by the thousand, on their own soil, at a fraction of what the primes charge. We call it Weapons of Mass Production. The Arsenal of Democracy, rebuilt for the drone age. More to come, and only where it helps. You know how to reach us.</t>
  </si>
  <si>
    <t xml:space="preserve">Jcode</t>
  </si>
  <si>
    <t xml:space="preserve">High performance coding agents</t>
  </si>
  <si>
    <t xml:space="preserve">Jcode is a high-performance coding-agent harness that makes it possible for developers to scale up multi-agent/swarm workflows. It's built from the ground up with a different architecture to solve the memory bottleneck (it's 20x more memory efficient than Claude Code) that has kept agent swarms from going mainstream. It has 20K GitHub stars, and throughputs $1mil per month of inference spend</t>
  </si>
  <si>
    <t xml:space="preserve">https://jcode.sh/</t>
  </si>
  <si>
    <t xml:space="preserve">https://www.ycombinator.com/companies/jcode</t>
  </si>
  <si>
    <t xml:space="preserve">Kara</t>
  </si>
  <si>
    <t xml:space="preserve">Making Diamond Semiconductors</t>
  </si>
  <si>
    <t xml:space="preserve">Kara is building diamond semiconductors. We begin with growing ultra-high purity diamond wafers for advanced hardware. Used in data centers, spacecrafts, RF systems, and quantum hardware, our diamond moves heat up to 5× better than copper, helping critical systems run cooler, faster, and more reliably. Diamond has spent centuries as a symbol. We are turning it into infrastructure.</t>
  </si>
  <si>
    <t xml:space="preserve">https://karalabs.ai/</t>
  </si>
  <si>
    <t xml:space="preserve">https://www.ycombinator.com/companies/kara</t>
  </si>
  <si>
    <t xml:space="preserve">Kebra</t>
  </si>
  <si>
    <t xml:space="preserve">AI For The Skilled Workforce</t>
  </si>
  <si>
    <t xml:space="preserve">Kebra builds AI for skilled technicians. Kebra guides technicians in the field in real time, documents their job, and automatically handles hours of back-office work; from dispatching technicians to filing warranty claims and managing inventory.</t>
  </si>
  <si>
    <t xml:space="preserve">https://kebra.com</t>
  </si>
  <si>
    <t xml:space="preserve">https://www.ycombinator.com/companies/kebra</t>
  </si>
  <si>
    <t xml:space="preserve">Lightning fast chips with hardcoded AI models</t>
  </si>
  <si>
    <t xml:space="preserve">Lamb Labs is building MPUs (Model Processing Units), custom chips that hardcode LLM weights directly into the chip. Unlike GPUs, which move weights between memory and compute, MPUs keep the model on-chip, targeting up to 20,000+ tok/s and a 63× higher intelligence per watt.</t>
  </si>
  <si>
    <t xml:space="preserve">Last Accounting Company</t>
  </si>
  <si>
    <t xml:space="preserve">AI-native accounting firm.</t>
  </si>
  <si>
    <t xml:space="preserve">Last Accounting Company (LAC) is a full-stack AI accounting firm. We sell the same service (bookkeeping, tax filings, etc.) as a traditional accounting firm, but underneath agents handle everything and a certified accountant signs off. Our service is faster, cheaper, and fully integrated, allowing our clients to focus on what matters, not accounting admin. LAC replaces both outsourced accountants and legacy accounting software for startups and SMBs. Our system is fully proprietary, from the general ledger to the accounting agents. This allows us to create powerful self-reinforcing loops and ultimately provide a state-of-the-art accounting service.</t>
  </si>
  <si>
    <t xml:space="preserve">Helsinki, Finland</t>
  </si>
  <si>
    <t xml:space="preserve">https://lastaccountingcompany.com/</t>
  </si>
  <si>
    <t xml:space="preserve">https://www.ycombinator.com/companies/last-accounting-company</t>
  </si>
  <si>
    <t xml:space="preserve">LATO</t>
  </si>
  <si>
    <t xml:space="preserve">Predict how market participants behave</t>
  </si>
  <si>
    <t xml:space="preserve">The best investments come from conviction, and conviction comes from understanding a market deeply: its customers, its competitors, and where it's heading. Today that understanding is slow and expensive to build. Reaching the right people takes weeks, a commercial study costs $300k+, and each one starts from scratch. LATO does this research end-to-end, combining public data and the fund's own knowledge with first-hand interviews of a market's consumers, experts, and operators. This research grounds a simulation of the market to predict how market participants behave.</t>
  </si>
  <si>
    <t xml:space="preserve">https://www.latolabs.io/</t>
  </si>
  <si>
    <t xml:space="preserve">https://www.ycombinator.com/companies/lato</t>
  </si>
  <si>
    <t xml:space="preserve">LemonLime</t>
  </si>
  <si>
    <t xml:space="preserve">Fully automated GTM for small business</t>
  </si>
  <si>
    <t xml:space="preserve">LemonLime runs fully automated sales and marketing for small businesses. Every morning, LemonLime finds you new leads and drafts personalized outreach, prepares branded content, and identifies untapped sales &amp; marketing opportunities. All you have to do is click send.</t>
  </si>
  <si>
    <t xml:space="preserve">https://www.lemonlime.com/</t>
  </si>
  <si>
    <t xml:space="preserve">https://www.ycombinator.com/companies/lemonlime</t>
  </si>
  <si>
    <t xml:space="preserve">The Bloomberg of Loans</t>
  </si>
  <si>
    <t xml:space="preserve">Levocred AI is the Bloomberg of loans: AI agents that run and price a lender's book. One fund cut the time to mark its book from a week to two hours and now names us as data agent, the system of record, in its loan purchase agreements. $22T of US loans never trade because nobody can price them efficiently and defensibly. We fix pricing first by deploying inside lenders. Trading follows, the way it did for bonds.</t>
  </si>
  <si>
    <t xml:space="preserve">Libra Robotics</t>
  </si>
  <si>
    <t xml:space="preserve">Robotic crews for large-scale infrastructure construction</t>
  </si>
  <si>
    <t xml:space="preserve">We’re building collaborative robotic crews for large-scale infrastructure projects, including solar farms and data centers. 002C: “002A, 5.3 mm left.” 002B: “002A, you’re running low. Next pallet is on the way.” 002C: “Am I clear to come in?” 002A: “Aligned. Panel released. You’re clear.” 002C: “Fastening.” 002B: “Next load arriving now.” This isn’t a human crew talking. It’s three robots building a utility-scale solar farm together. Our AI control system enables specialized robots to collaborate, learn reusable construction skills, like alignment, fastening, and manipulation, and transfer them across workflows, from solar farms to data centers. 🚧 🦺</t>
  </si>
  <si>
    <t xml:space="preserve">https://www.librabots.com/</t>
  </si>
  <si>
    <t xml:space="preserve">https://www.ycombinator.com/companies/libra-robotics</t>
  </si>
  <si>
    <t xml:space="preserve">Evals for humans</t>
  </si>
  <si>
    <t xml:space="preserve">Litmus is building the most accurate framework for evaluating and benchmarking human capability, starting with software. AI will compound small differences in human capability into increasingly large differences in what people can accomplish, while making existing static benchmarks obsolete. Software is already there: AI can hill-climb any output-based evaluation, while the ability to direct it is becoming the defining advantage. Litmus applies the same approach we already use for model evals to humans – creating world-like environments, and inspecting trajectory instead of just output. Every knowledge industry will soon face the same problem. We build Litmus to tell you what humans are capable of. We're already helping build frontier technical teams at Mercor, Composio, Neo Scholars, and more.</t>
  </si>
  <si>
    <t xml:space="preserve">Locke</t>
  </si>
  <si>
    <t xml:space="preserve">The AI-native firm for public influence.</t>
  </si>
  <si>
    <t xml:space="preserve">Locke is the AI-native firm for public influence. We pair elite lobbyists and political talent with our own AI systems, helping companies lobby policymakers and win government contracts. Locke's team comes from The White House, Congress, and the Pentagon.</t>
  </si>
  <si>
    <t xml:space="preserve">https://locke.inc</t>
  </si>
  <si>
    <t xml:space="preserve">https://www.ycombinator.com/companies/locke</t>
  </si>
  <si>
    <t xml:space="preserve">Luca IQ</t>
  </si>
  <si>
    <t xml:space="preserve">API-first tax engine for CPA firms and developers</t>
  </si>
  <si>
    <t xml:space="preserve">Luca IQ is an API for deterministic tax calculation and an IRS Authorized e-filing engine - the foundation for accounting firms and fintechs building on tax.</t>
  </si>
  <si>
    <t xml:space="preserve">https://lucaiq.com/</t>
  </si>
  <si>
    <t xml:space="preserve">https://www.ycombinator.com/companies/luca-iq</t>
  </si>
  <si>
    <t xml:space="preserve">Oura Ring for Skin</t>
  </si>
  <si>
    <t xml:space="preserve">The Lumoscope is a multispectral camera that clips onto your phone and scans your skin at home with the same light used in clinics. You see what a mirror can't: a breakout days before it surfaces, and wrinkles changing over time. Our software then reads that history, connects flare-ups to causes you'd never suspect, and matches products to what your own data shows works.</t>
  </si>
  <si>
    <t xml:space="preserve">machine0</t>
  </si>
  <si>
    <t xml:space="preserve">AWS for Agents</t>
  </si>
  <si>
    <t xml:space="preserve">machine0 is a CLI for agent compute: `machine0 new mybox` gives your agent a full cloud VM, billed by the minute, from small up to 60 vCPU / 240 GB and 8×H100s. Agents drive it themselves via CLI or MCP. Agent workloads are moving from ephemeral to always-on. A coding agent working on a hard feature runs 6-8 hours. Auto-research agents run for days. machine0 is the environment in which these agents run.</t>
  </si>
  <si>
    <t xml:space="preserve">https://machine0.io</t>
  </si>
  <si>
    <t xml:space="preserve">https://www.ycombinator.com/companies/machine0</t>
  </si>
  <si>
    <t xml:space="preserve">Magma</t>
  </si>
  <si>
    <t xml:space="preserve">Monetize your agent's traces.</t>
  </si>
  <si>
    <t xml:space="preserve">We enable companies monetize their agents' traces.</t>
  </si>
  <si>
    <t xml:space="preserve">https://magmahq.ai</t>
  </si>
  <si>
    <t xml:space="preserve">https://www.ycombinator.com/companies/magma</t>
  </si>
  <si>
    <t xml:space="preserve">Maingen</t>
  </si>
  <si>
    <t xml:space="preserve">Simulating Agents Running Industrial Companies</t>
  </si>
  <si>
    <t xml:space="preserve">Maingen builds simulations for industrial operations ($5 trillion slice of the US economy) so frontier labs can train models that actually run power plants, factories, and datacenters.</t>
  </si>
  <si>
    <t xml:space="preserve">https://www.maingen.com/</t>
  </si>
  <si>
    <t xml:space="preserve">https://www.ycombinator.com/companies/maingen</t>
  </si>
  <si>
    <t xml:space="preserve">Manifold</t>
  </si>
  <si>
    <t xml:space="preserve">Drop-in robotic labor that works on Day 1</t>
  </si>
  <si>
    <t xml:space="preserve">The US Warehouse industry spends $75bn on labor each year. Yet, only 10% of US warehouses have any form of automation, because existing robotics are too expensive and hard to integrate. Manifold deploys autonomous robots that handle picking, loading / unloading, and palletizing — priced by pick. Integration in hours. No upfront costs. No retrofitting. No need to rebuild the operation around the robot. Our mission is to make it easy for any warehouse to adopt robotics.</t>
  </si>
  <si>
    <t xml:space="preserve">https://www.manifoldindustries.ai/</t>
  </si>
  <si>
    <t xml:space="preserve">https://www.ycombinator.com/companies/manifold-2</t>
  </si>
  <si>
    <t xml:space="preserve">The autonomous back-of-house for restaurants.</t>
  </si>
  <si>
    <t xml:space="preserve">Marble is the first AI-native operating system for the restaurant back-of-house. Restaurants, cafes and bars still run on a patchwork of disconnected point solutions, spreadsheets, clipboards and tribal knowledge, which costs the industry billions each year in stockouts, food waste, and lost profit. Marble replaces that entire stack with one system. Computer vision and voice AI capture real-time inventory levels 90% faster than manual counts, ML models forecast item-level demand at 97% accuracy, and AI agents run dozens of end-to-end workflows autonomously, from procurement and invoice reconciliation to scheduling, food prep, menu engineering, and more.</t>
  </si>
  <si>
    <t xml:space="preserve">AI-Native Engineering Firm designing Data Centers</t>
  </si>
  <si>
    <t xml:space="preserve">Marengo is the AI-native engineering firm automating engineering design, starting with data centers. We’ve generated $70K in revenue in our first month, with $4M in contracts to deliver. Marengo is backed by YC, Exor, Future Planet Capital, undisclosed $2B AUM family office, and other top-tier investors. Our team includes the former President &amp; CEO of Saipem America ($3B+ P&amp;L), former President of Exyte's Advanced Technology Facilities GBU ($6B+ P&amp;L) and more.</t>
  </si>
  <si>
    <t xml:space="preserve">Marker</t>
  </si>
  <si>
    <t xml:space="preserve">Platform + FDEs that rebuild enterprises agent-first</t>
  </si>
  <si>
    <t xml:space="preserve">Marker is a platform for rebuilding enterprises agent-first, delivered by forward-deployed engineers. It productizes every step from discovery to production, so every agent we ship makes the next one faster.</t>
  </si>
  <si>
    <t xml:space="preserve">https://onmarker.com</t>
  </si>
  <si>
    <t xml:space="preserve">https://www.ycombinator.com/companies/marker</t>
  </si>
  <si>
    <t xml:space="preserve">Expert computer-use data for frontier AI labs</t>
  </si>
  <si>
    <t xml:space="preserve">Markov builds expert computer-use datasets for frontier AI labs. Our datasets include screen recordings + mouse/keyboard actions of professionals using CAD, design and enterprise software. We work with the top AI labs and we’ve gotten more than 350k downloads on HuggingFace. Our long-term goal is to be the full stack platform for computer-use AI, starting with data and then the infrastructure to train and deploy computer-use models. Dev and Harish are technical co-founders. Dev studied aerospace engineering at IIT Madras and was the youngest team member at Sarvam - India’s top AI lab. Harish is an Emergent Ventures grantee and his prior robotics work was featured in top national publications.</t>
  </si>
  <si>
    <t xml:space="preserve">Mass Magnetics</t>
  </si>
  <si>
    <t xml:space="preserve">USA-made magnetics for robotics and defense.</t>
  </si>
  <si>
    <t xml:space="preserve">Mass Magnetics turns recycled rare-earth scrap into high-performance permanent magnets, made in America. The materials we supply are the backbone of electric motors, sensors, speakers, hard drives, and electronics. Our process enables DFARS-compliant magnets for defense, aerospace, and industrial manufacturers who demand domestic supply without compromising on quality. Operations in Greater Boston, MA (Greentown Labs) and Columbus, IN.</t>
  </si>
  <si>
    <t xml:space="preserve">https://massmagnetics.com/</t>
  </si>
  <si>
    <t xml:space="preserve">https://www.ycombinator.com/companies/mass-magnetics</t>
  </si>
  <si>
    <t xml:space="preserve">Mentlio</t>
  </si>
  <si>
    <t xml:space="preserve">Engineering Intelligence and Token Optimization for the AI-Coding Era</t>
  </si>
  <si>
    <t xml:space="preserve">Mentlio an applied research lab focused on optimizing AI ROI for the modern enterprise. We help engineering teams draw a line between their AI spend and delivery, per engineer. We then cut ~30% of AI spend via Mentlio's custom ML-based intelligent routing, context optimization, and prompt compression.</t>
  </si>
  <si>
    <t xml:space="preserve">https://mentlio.com</t>
  </si>
  <si>
    <t xml:space="preserve">https://www.ycombinator.com/companies/mentlio</t>
  </si>
  <si>
    <t xml:space="preserve">Meteoric</t>
  </si>
  <si>
    <t xml:space="preserve">Drones that clear clouds over solar farms and weaken hurricanes</t>
  </si>
  <si>
    <t xml:space="preserve">Meteoric is building drones that clear clouds over solar farms and ultimately weaken severe storms and hurricanes.</t>
  </si>
  <si>
    <t xml:space="preserve">https://meteoric.earth/</t>
  </si>
  <si>
    <t xml:space="preserve">https://www.ycombinator.com/companies/meteoric</t>
  </si>
  <si>
    <t xml:space="preserve">Mireye</t>
  </si>
  <si>
    <t xml:space="preserve">Search Engine for the Physical World</t>
  </si>
  <si>
    <t xml:space="preserve">AI agents are starting to act in the real world, but they can't reliably understand it. Every fact about a place has its own silo: land in GIS maps, power in utility portals, people in census tables, policy in county PDFs. All built for humans, none for agents. Underneath, the data is fragmented across thousands of sources, unstructured and complex. Mireye is building the infrastructure that powers agents to make decisions and act in the real world. One API and MCP to connect agents to the physical world with accurate data enrichment, signals and tools. Our mission is to index every inch of the earth, and make it as queryable as the web.</t>
  </si>
  <si>
    <t xml:space="preserve">https://www.mireye.com/</t>
  </si>
  <si>
    <t xml:space="preserve">https://www.ycombinator.com/companies/mireye</t>
  </si>
  <si>
    <t xml:space="preserve">Mochi</t>
  </si>
  <si>
    <t xml:space="preserve">Watch and create anime</t>
  </si>
  <si>
    <t xml:space="preserve">Mochi is an app to watch and create anime microdramas: fast paced shows with a cliffhanger every minute. We produce originals with AI, collaborating with writers from Marvel, Cartoon Network, and Toei Animation, and our users can also create in app too - with over 500 episodes created each day from 3,000+ creators.</t>
  </si>
  <si>
    <t xml:space="preserve">https://www.mochi.tv/</t>
  </si>
  <si>
    <t xml:space="preserve">https://www.ycombinator.com/companies/mochi</t>
  </si>
  <si>
    <t xml:space="preserve">Molagri</t>
  </si>
  <si>
    <t xml:space="preserve">Resistance free pesticides.</t>
  </si>
  <si>
    <t xml:space="preserve">Molagri develops safer, more effective pesticides for agriculture. We design biopesticides that hit a precise molecular target unique to pest insects, knocking out pests while sparing pollinators, beneficial insects, and the wider ecosystem. By modeling how pests are likely to evolve, we stay a step ahead of resistance, keeping our products effective against the pests of today and tomorrow. The higher efficacy and biobased production will also contribute to emissions reductions in both manufacturing and field use. Our founders are PhD lab mates from the University of Toronto who have worked together for six years and published in Nature Communications and Nature Microbiology.</t>
  </si>
  <si>
    <t xml:space="preserve">https://molagri.com</t>
  </si>
  <si>
    <t xml:space="preserve">https://www.ycombinator.com/companies/molagri</t>
  </si>
  <si>
    <t xml:space="preserve">Moonshot</t>
  </si>
  <si>
    <t xml:space="preserve">agents for the rest of us</t>
  </si>
  <si>
    <t xml:space="preserve">We want to bring AI agents to a billion people. To do this, we believe it needs to be 1. proactive and 2. personal. A billion people already carry the right device, but none of them have the right connector. Moonshot is personal intelligence that lives on your iPhone and listens to you 24/7. It continuously builds up a greater understanding of you through constantly listening and building context. It just pays deep attention, the way a good friend does. Through this, Moonshot monitors your conscious and subconscious life, figuring out what you need before you know, reminding you about open loops, identifying life and emotional trends before you recognize it, and covering a lot more of what we gloss over in daily life. For fifty years, software has waited to be asked. We think tools are just good enough to flip this, and the next great software will provide value before asking for something first. We're doing it through Moonshot. Our thesis is simple: you're only living half your life. The half that you actively remember. The other half just evaporates into your subconscious: what you said, felt, promised, and forgot. It's the more interesting half, and until now nothing could catch it, making it not actionable. Moonshot catches your subconscious half and understands you well enough to take actions on your behalf. Take life personally. The iOS app is designed around ambient listening and clear user control. Short microphone chunks are sent securely to Moonshot's private transcription service and deleted when transcription finishes. Text and selected context can be sent through Moonshot's server to a model when the app needs to understand a moment. Nothing leaves without your yes. The privacy policy explains every data path, stored copy, permission, and deletion control in detail. Moonshot is in early access. Join the waitlist to hear when access opens, read more about the team and product on the About page, or use the Contact page for a direct written response from the Moonshot team. Let's make it a Moonshot.</t>
  </si>
  <si>
    <t xml:space="preserve">https://moonshot.computer/</t>
  </si>
  <si>
    <t xml:space="preserve">https://www.ycombinator.com/companies/moonshot-computer</t>
  </si>
  <si>
    <t xml:space="preserve">Mosaic</t>
  </si>
  <si>
    <t xml:space="preserve">Defining the frontier of multiplayer AI.</t>
  </si>
  <si>
    <t xml:space="preserve">Mosaic gives teams and their coding agents shared memory across every session, so everyone can understand what happened, why decisions were made, and pick up where someone else left off. We started as a real-time coding environment where multiple people and their agents can work together live. It went viral, defined the multiplayer AI category, and inspired frontier labs like Anthropic. Together, we’re building the infrastructure for people and agents to share context and work together.</t>
  </si>
  <si>
    <t xml:space="preserve">https://mosaic.inc</t>
  </si>
  <si>
    <t xml:space="preserve">https://www.ycombinator.com/companies/mosaic-inc</t>
  </si>
  <si>
    <t xml:space="preserve">Most Robotic</t>
  </si>
  <si>
    <t xml:space="preserve">Research lab building the most robotic household in the world</t>
  </si>
  <si>
    <t xml:space="preserve">We're a robotics research lab pushing what's possible with physical AI. We're MIT computer scientists &amp; friends since middle school, with robotics research backgrounds and industry experience at NASA JPL, SpaceX, and AWS.</t>
  </si>
  <si>
    <t xml:space="preserve">https://mostrobotic.com/</t>
  </si>
  <si>
    <t xml:space="preserve">https://www.ycombinator.com/companies/most-robotic</t>
  </si>
  <si>
    <t xml:space="preserve">Moving Atoms</t>
  </si>
  <si>
    <t xml:space="preserve">Virtual Reality for Training Robots</t>
  </si>
  <si>
    <t xml:space="preserve">Our first model, Atom 1, pre-trained on the internets video, and fine tuned for physics. It has been action conditioned, so you can simulate robot actions within it. This lets Robot Labs train their robots using GPUs instead of relying on human collected manual data that is slow and expensive. In unseen and hard to replicate environments, this is the only path to getting ANY training data.</t>
  </si>
  <si>
    <t xml:space="preserve">https://movingatoms.ai/</t>
  </si>
  <si>
    <t xml:space="preserve">https://www.ycombinator.com/companies/moving-atoms</t>
  </si>
  <si>
    <t xml:space="preserve">MusicArena</t>
  </si>
  <si>
    <t xml:space="preserve">The crowdsourced benchmark for AI-generated music and music production</t>
  </si>
  <si>
    <t xml:space="preserve">https://musicarena.io/</t>
  </si>
  <si>
    <t xml:space="preserve">https://www.ycombinator.com/companies/musicarena</t>
  </si>
  <si>
    <t xml:space="preserve">NebuSec</t>
  </si>
  <si>
    <t xml:space="preserve">Autonomous AI defense system for cyber attack</t>
  </si>
  <si>
    <t xml:space="preserve">NebuSec is founded by the world’s #1 hacking team. We were the first team to build an nginx RCE and the first to root Android 17. Our co-founders include members of the world’s No. 1 CTF team, DEF CON winners, Black Hat speakers, and PhD in cybersecurity. We have won $400K in bug bounties by exploiting the Linux kernel and Chrome browser. “Audited by NebuSec” is a mark of serious security credibility: a signal to customers, investors, and partners that your product has been reviewed by the world’s best hackers.</t>
  </si>
  <si>
    <t xml:space="preserve">https://nebusec.ai</t>
  </si>
  <si>
    <t xml:space="preserve">https://www.ycombinator.com/companies/nebusec</t>
  </si>
  <si>
    <t xml:space="preserve">Building robots to automate wetlabs</t>
  </si>
  <si>
    <t xml:space="preserve">We are building robots that can work autonomously in existing wet labs. Unlike traditional lab automation, which requires dedicated equipment and fixed workflows, our robot moves between workstations, manipulates existing scientific equipment, transports lab materials, and executes experiments using the same lab infrastructure as a human technician. We make the robots easy to manage through natural interfaces like Slack, email, and phone. Our goal is to make deploying robots in wet labs as easy as onboarding a new employee, and to accelerate scientific research!</t>
  </si>
  <si>
    <t xml:space="preserve">Neuron Industries</t>
  </si>
  <si>
    <t xml:space="preserve">Industrial Controllers built for AI</t>
  </si>
  <si>
    <t xml:space="preserve">Neuron is crafting the world’s first purpose-built industrial controller for AI, replacing the antiquated PLCs running every machine and factory. We help customers from chemical processing to nuclear reactors compress controls projects from weeks to hours.</t>
  </si>
  <si>
    <t xml:space="preserve">https://neuronindustries.com</t>
  </si>
  <si>
    <t xml:space="preserve">https://www.ycombinator.com/companies/neuron-industries</t>
  </si>
  <si>
    <t xml:space="preserve">Nex</t>
  </si>
  <si>
    <t xml:space="preserve">Grok bot for GTM &amp; Revenue teams</t>
  </si>
  <si>
    <t xml:space="preserve">We build and deploy AI agents that manage prospecting, qualification, CRM hygiene, forecasting, lead routing, revenue recovery, and all the complex revenue work in between, on autopilot.</t>
  </si>
  <si>
    <t xml:space="preserve">https://nex.ai</t>
  </si>
  <si>
    <t xml:space="preserve">https://www.ycombinator.com/companies/nex</t>
  </si>
  <si>
    <t xml:space="preserve">The most capable American-made humanoid robot for $1,688</t>
  </si>
  <si>
    <t xml:space="preserve">We manufacture Nori: A sub-$2000 bimanual mobile manipulator that can clean rooms, restock shelves, and fold clothes. Nori can handle basic tasks out of the box, and its software lets anyone teach Nori to automate work specific to their home or business. Nori aims to solve the robotics data bottleneck. By deploying affordable robots to customers around the world, we can gather the diverse data required to train the next generation of generalist robotic policies. Every user of Nori makes Nori smarter. Since launching 6 weeks ago we have already deployed our first robot and have over $440k+ in sales. We can bring general-purpose robotics to homes and businesses that could never afford it before. There are 132.7 million households and 8.4 million employer business locations in the U.S. At $1,688 per robot, selling just one Nori to 0.5% of them represents a $1.2B market opportunity in the U.S. alone.</t>
  </si>
  <si>
    <t xml:space="preserve">Olam Labs</t>
  </si>
  <si>
    <t xml:space="preserve">Building multi-agent simulations for model evals and training.</t>
  </si>
  <si>
    <t xml:space="preserve">Multi-agent environments let us evaluate and train models in complex, simulated worlds. We work with researchers on both evaluations and training for character and agentic performance typically difficult to assess for using current popular datasets. Play one of our first releases, Multi-Agent Arena (https://olamlabs.ai/arena), where humans come play social strategy games against multiple AI agents. It's currently top 50 on OpenRouter and has thousands of matches played each day. We use Multi-Agent Arena to build datasets on agentic performance and real-world socialization.</t>
  </si>
  <si>
    <t xml:space="preserve">https://olamlabs.ai</t>
  </si>
  <si>
    <t xml:space="preserve">https://www.ycombinator.com/companies/olam-labs</t>
  </si>
  <si>
    <t xml:space="preserve">Omanta</t>
  </si>
  <si>
    <t xml:space="preserve">A research lab for one</t>
  </si>
  <si>
    <t xml:space="preserve">Omanta is a personalized research lab for patients who have exhausted standard options, want to prepare proactively for recurrence, or are living with an unresolved diagnosis. We direct the full operational infrastructure, personnel, expertise, and technology of a large research program toward understanding and addressing the challenges of individual patients across oncology, rare disease, and undiagnosed conditions. For clinicians, we act as a collaborative partner, providing a living roadmap for ongoing patient care built on a rigorous and evolving scientific evidence base. We fully operationalize patient-specific research programs, covering tissue logistics, diagnostic follow-up, data integration, multiomic analysis, therapeutic strategy development, and more. Omanta brings context and clarity to complex cases, helping clinicians see more of the scientific picture as they decide how best to care for their patients.</t>
  </si>
  <si>
    <t xml:space="preserve">https://omanta.com/</t>
  </si>
  <si>
    <t xml:space="preserve">https://www.ycombinator.com/companies/omanta</t>
  </si>
  <si>
    <t xml:space="preserve">OneCLI</t>
  </si>
  <si>
    <t xml:space="preserve">The open source AI teammates for your company.</t>
  </si>
  <si>
    <t xml:space="preserve">OneCLI (YC S26) is an open-source AI teammates platform for teams. Like Grok Bot, but self-hostable, loved by developers. Each employee gets their own sandboxed pro assistant agent, connected to their GitHub, Gmail, Notion, Dropbox, or CRM right from the chat/Slack, while the whole workspace runs under one policy your admins control. Agents never hold real secrets: the credential is injected at the network layer, per request, after the call is authorized. You can't steal what isn't there.</t>
  </si>
  <si>
    <t xml:space="preserve">https://onecli.sh</t>
  </si>
  <si>
    <t xml:space="preserve">https://www.ycombinator.com/companies/onecli</t>
  </si>
  <si>
    <t xml:space="preserve">The cheapest, fastest inference cloud</t>
  </si>
  <si>
    <t xml:space="preserve">Inference has surpassed training as AI’s largest compute cost, accelerated by increasing demand for AI and agents. By using proprietary KV cache transfer tech, OneTriangle has cut inference costs by 20% and time by 40% compared to present standards.</t>
  </si>
  <si>
    <t xml:space="preserve">Ooak Data</t>
  </si>
  <si>
    <t xml:space="preserve">We turn company data into training data</t>
  </si>
  <si>
    <t xml:space="preserve">Ooak Data turns internal company data into a training ground where AI agents can be tested on real work.</t>
  </si>
  <si>
    <t xml:space="preserve">https://ooakdata.com/</t>
  </si>
  <si>
    <t xml:space="preserve">https://www.ycombinator.com/companies/ooak-data</t>
  </si>
  <si>
    <t xml:space="preserve">OpenRelay</t>
  </si>
  <si>
    <t xml:space="preserve">Distributed, hardware-agnostic AI inference</t>
  </si>
  <si>
    <t xml:space="preserve">https://www.openrelay.inc</t>
  </si>
  <si>
    <t xml:space="preserve">https://www.ycombinator.com/companies/openrelay</t>
  </si>
  <si>
    <t xml:space="preserve">OpenTag</t>
  </si>
  <si>
    <t xml:space="preserve">Model Agnostic AI coworker in Slack</t>
  </si>
  <si>
    <t xml:space="preserve">OpenTag is an AI coworker in your Slack with full context on your company. It answers questions and takes real work off your plate. It also keeps your wiki up to date automatically, so knowledge never goes stale.</t>
  </si>
  <si>
    <t xml:space="preserve">https://www.tryopentag.com/</t>
  </si>
  <si>
    <t xml:space="preserve">https://www.ycombinator.com/companies/opentag</t>
  </si>
  <si>
    <t xml:space="preserve">OpenVector</t>
  </si>
  <si>
    <t xml:space="preserve">AI that turns any camera to an autonomous worker with real-time vision</t>
  </si>
  <si>
    <t xml:space="preserve">OpenVector transforms any existing camera into an automated 24/7 workforce without requiring new hardware. We've built the world's fastest vision-language model inference engine that allows users to simply describe a task in plain English and automatically build a custom AI vision model to monitor their feed. When it detects an important physical event—like a stalled production cycle, a safety violation, or a waiting customer—it operates a computer just like a human to take immediate action. It integrates with legacy systems, makes calls, sends emails, updates a POS/CRM, or triggers webhooks in real time. OpenVector enables any camera to do real work.</t>
  </si>
  <si>
    <t xml:space="preserve">https://openvector.com</t>
  </si>
  <si>
    <t xml:space="preserve">https://www.ycombinator.com/companies/openvector</t>
  </si>
  <si>
    <t xml:space="preserve">Operon</t>
  </si>
  <si>
    <t xml:space="preserve">Agentic data layer for manufacturing &amp; process industries.</t>
  </si>
  <si>
    <t xml:space="preserve">Operon is the data intelligence layer for heavy industry. We ingest the messy documents a plant runs on (P&amp;IDs, schematics, datasheets, scans) and turn them into one structured, queryable model of the facility. On top of it, engineers query their plant in natural language and build agentic workflows for safety, compliance, and design.</t>
  </si>
  <si>
    <t xml:space="preserve">https://operonsolutions.com/en</t>
  </si>
  <si>
    <t xml:space="preserve">https://www.ycombinator.com/companies/operon</t>
  </si>
  <si>
    <t xml:space="preserve">Orchestra</t>
  </si>
  <si>
    <t xml:space="preserve">Self-optimizing neocloud that cuts LLM costs by 100x</t>
  </si>
  <si>
    <t xml:space="preserve">Orchestra is an inference cloud. We capture your AI work traces, train smaller models, and automatically deploy them (only when they outperform the expensive model you are currently paying for). Instead of renting the same frontier model forever, your AI infrastructure gets faster, smarter, and cheaper every time it runs. Suppose your product uses Claude for a repetitive legal workflow. Orchestra observes successful production runs, learns the specific tools and judgment required for that workflow, and trains a specialized open-weight model. Once that model matches or beats Claude on a held-out evaluation, Orchestra starts routing production traffic to it. As more work is completed, the model keeps improving. We started Orchestra because we believe every company using AI should be accumulating intelligence, not accumulating API bills.</t>
  </si>
  <si>
    <t xml:space="preserve">https://orchestra.ai/</t>
  </si>
  <si>
    <t xml:space="preserve">https://www.ycombinator.com/companies/orchestra</t>
  </si>
  <si>
    <t xml:space="preserve">OS3</t>
  </si>
  <si>
    <t xml:space="preserve">Affordable, intelligent humanoid robots built to deploy at scale</t>
  </si>
  <si>
    <t xml:space="preserve">OS3 is building the platform that makes intelligent robots accessible to every business. Today, robotics is constrained by two fundamental bottlenecks: hardware is too expensive to deploy at scale, and robots are difficult to train because high-quality robotics data is scarce and costly to collect. We built OS3 to solve both. Our two-person team designed and a US-made mobile humanoid robot for a fraction of the cost of commercial alternatives. On the intelligence side, instead of relying on expensive robot-generated training data, we trained our own video-action model on 150,000 hours of real-world video spanning more than 2,000 tasks. Every deployed robot feeds new experience into our reinforcement learning pipeline, self improving robot fleet over time. This creates a robot that can be deployed across industries to automate repetitive, physical work without requiring a new robot or training pipeline for every task. Our robots are already deployed in hotels, with customers now expanding the platform into biotech, hospitals, and data centers, including a wet lab at Stanford. Our mission is to do for robotics what Apple did for personal computing: take technology that was once expensive, specialized, and inaccessible and make it powerful and usable at massive scale. We’re building toward a world with billions of intelligent robots, and OS3 is the platform that makes that possible.</t>
  </si>
  <si>
    <t xml:space="preserve">https://os3robotics.com/</t>
  </si>
  <si>
    <t xml:space="preserve">https://www.ycombinator.com/companies/os3</t>
  </si>
  <si>
    <t xml:space="preserve">Osseus</t>
  </si>
  <si>
    <t xml:space="preserve">The frontier data platform for aligned health and biological AI</t>
  </si>
  <si>
    <t xml:space="preserve">In an era of cheap intelligence, the most important application of AI will be to improving human health, globally. Osseus is building the frontier medical AI lab, starting with the clinical datasets, evaluations, and reinforcement learning environments that help AI labs train more capable, aligned, and safe models.</t>
  </si>
  <si>
    <t xml:space="preserve">https://osseus.ai/</t>
  </si>
  <si>
    <t xml:space="preserve">https://www.ycombinator.com/companies/osseus</t>
  </si>
  <si>
    <t xml:space="preserve">Pacific</t>
  </si>
  <si>
    <t xml:space="preserve">Mass-producing and financing micro data center incredibly quickly.</t>
  </si>
  <si>
    <t xml:space="preserve">We mass-produce modular data centers that deploy on stalled infrastructure projects losing billions per week. Delayed infrastructure projects hemorrhage $1B a week in the US alone - Pacific mass-produces modular data centers that deploy on those sites in days and turn their unused power into revenue. Data centers are stuck for years waiting for power, while delayed construction sites across the world sit on unused interconnects, losing billions of dollars per week in interest on trillions of dollars of debt. Our pods deploy on those sites and generate revenue for them in days. They use diamond wafers in the cooling system so pods run anywhere on earth, even a desert. We'll use the same mechanisms we're building today to deploy compute across the galaxy.</t>
  </si>
  <si>
    <t xml:space="preserve">https://pacific.space</t>
  </si>
  <si>
    <t xml:space="preserve">https://www.ycombinator.com/companies/pacific</t>
  </si>
  <si>
    <t xml:space="preserve">Palette</t>
  </si>
  <si>
    <t xml:space="preserve">The Media Engine of the AI Era</t>
  </si>
  <si>
    <t xml:space="preserve">Palette is a self-improving AI-native media platform built by MIT computer scientists and multimodal researchers that unifies the creative workflow into a single generation engine. We’re building a fully autonomous production engine that generates, distributes, and optimizes interactive media for every brand and audience.</t>
  </si>
  <si>
    <t xml:space="preserve">https://palettelabs.com/</t>
  </si>
  <si>
    <t xml:space="preserve">https://www.ycombinator.com/companies/palette-2</t>
  </si>
  <si>
    <t xml:space="preserve">Palisade</t>
  </si>
  <si>
    <t xml:space="preserve">AI-native sales agents that run marketplaces</t>
  </si>
  <si>
    <t xml:space="preserve">Palisade spins up a personal sales agent for every single visitor to your website. Marketplaces like trading card platforms, vintage stores, and short-term rental operators sell more when each customer works with a personal agent that remembers them.</t>
  </si>
  <si>
    <t xml:space="preserve">https://palisade.run</t>
  </si>
  <si>
    <t xml:space="preserve">https://www.ycombinator.com/companies/palisade</t>
  </si>
  <si>
    <t xml:space="preserve">AI that finds and fixes OS-level vulnerabilities across device fleets</t>
  </si>
  <si>
    <t xml:space="preserve">https://palisade-ai.com/</t>
  </si>
  <si>
    <t xml:space="preserve">https://www.ycombinator.com/companies/palisade-2</t>
  </si>
  <si>
    <t xml:space="preserve">Pango</t>
  </si>
  <si>
    <t xml:space="preserve">Agentic OS for e-commerce operations</t>
  </si>
  <si>
    <t xml:space="preserve">Pango is a platform for e-commerce companies to use natural language to build agents and automate their logistics operations like delivery and returns.</t>
  </si>
  <si>
    <t xml:space="preserve">https://pango.ai/</t>
  </si>
  <si>
    <t xml:space="preserve">https://www.ycombinator.com/companies/pango</t>
  </si>
  <si>
    <t xml:space="preserve">Replacing GPUs with human brain cells</t>
  </si>
  <si>
    <t xml:space="preserve">We train human brain cells for compute</t>
  </si>
  <si>
    <t xml:space="preserve">AI-native freight brokerage</t>
  </si>
  <si>
    <t xml:space="preserve">Peer is building an AI-native freight brokerage that quotes freight, finds the right trucking companies, tracks shipments, and handles problems from pickup through delivery for shippers.</t>
  </si>
  <si>
    <t xml:space="preserve">Pennant</t>
  </si>
  <si>
    <t xml:space="preserve">The World Model for Corporate Governance</t>
  </si>
  <si>
    <t xml:space="preserve">Led by former institutional proxy voters and technologists with a collective 20+ years of experience, Pennant gives institutional investors, public companies, and corporate advisors voting and governance intelligence to act on their own principles at scale.</t>
  </si>
  <si>
    <t xml:space="preserve">https://www.getpennant.ai</t>
  </si>
  <si>
    <t xml:space="preserve">https://www.ycombinator.com/companies/pennant</t>
  </si>
  <si>
    <t xml:space="preserve">Perceptron ML</t>
  </si>
  <si>
    <t xml:space="preserve">We make law firms AI-native.</t>
  </si>
  <si>
    <t xml:space="preserve">We build AI systems for law firms, trained on each firm's own matters and deployed privately in their environment: timekeeping, intake and matter monitoring, research, discovery, and drafting. Our grounding engine verifies every fact against a primary source before a model can cite it, which is why firms trust us with work that off-the-shelf legal AI keeps getting wrong.</t>
  </si>
  <si>
    <t xml:space="preserve">https://perceptronml.com</t>
  </si>
  <si>
    <t xml:space="preserve">https://www.ycombinator.com/companies/perceptron-ml</t>
  </si>
  <si>
    <t xml:space="preserve">Petrarch</t>
  </si>
  <si>
    <t xml:space="preserve">Internal industrial company data for frontier labs</t>
  </si>
  <si>
    <t xml:space="preserve">Petrarch brings internal company data to frontier labs, starting with manufacturing and industrial companies. We source data including codebases, project files, and payments from bankruptcy courts, then de-identify and prepare the data for model training.</t>
  </si>
  <si>
    <t xml:space="preserve">https://petrarch.co/</t>
  </si>
  <si>
    <t xml:space="preserve">https://www.ycombinator.com/companies/petrarch</t>
  </si>
  <si>
    <t xml:space="preserve">Pluto</t>
  </si>
  <si>
    <t xml:space="preserve">LinkedIn for agents</t>
  </si>
  <si>
    <t xml:space="preserve">Resumes made careers readable. LinkedIn made them filterable. Pluto makes them searchable. Professionals spend 10 minutes talking to Pluto's voice agent about what they've done, what they're great at, and what they want next. Pluto turns that into a structured picture of who someone actually is, capturing the competency and intent that resumes and LinkedIn don't. When companies and AI agents go looking to hire, Pluto makes the right people discoverable. 27K+ professionals have shared their career context with Pluto, and 50+ companies, including Mercor, Warp, and Rho, use it to find and reach the right people. Long-term, we're building the LinkedIn for agents.</t>
  </si>
  <si>
    <t xml:space="preserve">https://talentpluto.com</t>
  </si>
  <si>
    <t xml:space="preserve">https://www.ycombinator.com/companies/talentpluto</t>
  </si>
  <si>
    <t xml:space="preserve">PokerClubHub</t>
  </si>
  <si>
    <t xml:space="preserve">Host a Poker Club and Make Money</t>
  </si>
  <si>
    <t xml:space="preserve">TL;DR: PokerClubHub is the first licensed poker club platform. We protect players’ deposits and allow anyone to open their own poker club and make money. Regulated online poker sites like PokerStars have open player pools and thus are full of pros and bots, driving players to unregulated private clubs. Existing poker club platforms like ClubGG have no payments processing. Players deposit with a club owner by sending them crypto for play-money chips. In theory, these chips can be exchanged back for money. However, players can get scammed and withdrawing takes ages. This model is also broken for honest club owners who have to manually process hundreds of deposits a day. They lose out on rake when they sleep and struggle to get players to trust them. On PokerClubhub, players deposit with PokerClubHub, not the club owner. We handle all deposits and withdrawals for the club owner, saving them time and increasing their earnings. We pay the rake (if any) to club owners as affiliate fees. We hold the same gaming license as BetHog (built by founders of FanDuel) and Nexa Poker (part of World Poker Tour). Player deposits are secured using Fireblocks. You can also play rake-free games with your friends and acquaintances on our platform. We ensure that everyone pays up.</t>
  </si>
  <si>
    <t xml:space="preserve">Jaco, Puntarenas Province, Costa Rica</t>
  </si>
  <si>
    <t xml:space="preserve">https://www.pokerclubhub.com</t>
  </si>
  <si>
    <t xml:space="preserve">https://www.ycombinator.com/companies/pokerclubhub</t>
  </si>
  <si>
    <t xml:space="preserve">Poth Labs</t>
  </si>
  <si>
    <t xml:space="preserve">The customer brain that connects data to explain customer behavior</t>
  </si>
  <si>
    <t xml:space="preserve">Poth is an agentic research platform that connects to your company data, creates hypotheses about what might be causing problems, and validates them using both existing data and adaptive user feedback.</t>
  </si>
  <si>
    <t xml:space="preserve">https://pothlabs.com</t>
  </si>
  <si>
    <t xml:space="preserve">https://www.ycombinator.com/companies/poth-labs</t>
  </si>
  <si>
    <t xml:space="preserve">Turns real businesses into robotics data vendors</t>
  </si>
  <si>
    <t xml:space="preserve">Praxis captures the data physical AI is bottlenecked on: egocentric video, 3D scans, and multimodal capture from inside real industrial and residential environments. Embedded within publicly listed and unicorn-scale conglomerates, we reach 60k workers across 5 continents and 150+ environment types, supplying the real-world training data frontier labs and humanoid companies can't source anywhere else.</t>
  </si>
  <si>
    <t xml:space="preserve">Prescience, Inc.</t>
  </si>
  <si>
    <t xml:space="preserve">Superintelligent health insurance that keeps employees healthy</t>
  </si>
  <si>
    <t xml:space="preserve">Prescience is the preeminent health benefits platform for the world's most ambitious companies. We save employers 20-50% on health insurance while offering best-in-industry health benefits: www.getprescience.com About us: Prescience is building a new healthcare system for America. We train AI systems to: create, operate, insure, and deliver healthcare for employer health plans. Prescience Time Machine – an AlphaGo-like system – steers patients towards “Move 37 health trajectories” that deliver dramatic cost savings for employers. Rishab Jain and Aditya Jain, M.D. are serial entrepreneurs and brothers from Harvard &amp; Harvard Medical School with backgrounds in machine learning and medicine. We believe abundant intelligence will bring an opportunity to fundamentally rebuild the $4.5T healthcare industry around proactive (prescient) health and wellness.</t>
  </si>
  <si>
    <t xml:space="preserve">https://www.getprescience.com/</t>
  </si>
  <si>
    <t xml:space="preserve">https://www.ycombinator.com/companies/prescience-inc</t>
  </si>
  <si>
    <t xml:space="preserve">PRINCEPS</t>
  </si>
  <si>
    <t xml:space="preserve">AI-native insurance company for the compute economy</t>
  </si>
  <si>
    <t xml:space="preserve">PRINCEPS is the first purpose-built insurance company for the trillion-dollar compute buildout. We underwrite SLA, GPU residual value, and outage risk, and price the coverage that unlocks cheaper financing for data centers and neoclouds.</t>
  </si>
  <si>
    <t xml:space="preserve">https://princeps.dev</t>
  </si>
  <si>
    <t xml:space="preserve">https://www.ycombinator.com/companies/princeps</t>
  </si>
  <si>
    <t xml:space="preserve">Prized</t>
  </si>
  <si>
    <t xml:space="preserve">A cloud devbox that feels local</t>
  </si>
  <si>
    <t xml:space="preserve">Prized is a cloud development environment that feels local on your Mac. Developers get a dedicated, persistent machine with their repos, dependencies, and tools already configured. Files sync into a real local folder, remote ports appear on localhost, and terminals persist through tmux, so developers and coding agents can keep working even after the laptop closes. Machines can be resized or cloned as workloads grow, without rebuilding the development environment.</t>
  </si>
  <si>
    <t xml:space="preserve">https://prized.dev</t>
  </si>
  <si>
    <t xml:space="preserve">https://www.ycombinator.com/companies/prized</t>
  </si>
  <si>
    <t xml:space="preserve">Prodigy Research</t>
  </si>
  <si>
    <t xml:space="preserve">Training the world's best AI model for quantitative finance.</t>
  </si>
  <si>
    <t xml:space="preserve">Prodigy is the frontier AI trading research lab. We've trained the world's best foundation model for quantitative finance. We've already achieved more than 100% returns in live trading over the course of our YC batch, doubling our capital while major indices were flat. Our founders previously worked on a trading desk at Jane Street, trained frontier AI models at Google DeepMind and shipped cutting-edge AI at Apple to billions of customers. Join us as we use AI to solve the market.</t>
  </si>
  <si>
    <t xml:space="preserve">https://prodigy.markets</t>
  </si>
  <si>
    <t xml:space="preserve">https://www.ycombinator.com/companies/prodigy-research</t>
  </si>
  <si>
    <t xml:space="preserve">Robots to maintain and assemble data centers</t>
  </si>
  <si>
    <t xml:space="preserve">Proprio Robotics is building state-of-the-art physical intelligence to automate the entire data center lifecycle—from buildout to maintenance to decommissioning. There are currently 400,000 unstaffed data center technicians positions in the United States alone, which means the massive compute needs of AI are being bottlenecked by labor constraints. Proprio is solving this by building robots that do it instead, and is deploying data center maintenance robots starting Q1 2027.</t>
  </si>
  <si>
    <t xml:space="preserve">ProvenMetal</t>
  </si>
  <si>
    <t xml:space="preserve">AI-native electronics manufacturing for the American industrial base</t>
  </si>
  <si>
    <t xml:space="preserve">ProvenMetal manufactures the fastest circuit boards in the United States. Domestic circuit board manufacturing is slow and expensive, and while reshoring is happening, the supply chain isn't there yet. We automate the bottlenecks - part procurement, DFM review, and assembly - delivering circuit boards in days instead of weeks.</t>
  </si>
  <si>
    <t xml:space="preserve">https://provenmetal.com</t>
  </si>
  <si>
    <t xml:space="preserve">https://www.ycombinator.com/companies/provenmetal</t>
  </si>
  <si>
    <t xml:space="preserve">Qlo</t>
  </si>
  <si>
    <t xml:space="preserve">Legora for commercial insurance carriers</t>
  </si>
  <si>
    <t xml:space="preserve">Qlo builds AI agents to run commercial insurance underwriting. We start by fully automating the operational work around risk decisions, become the system of record, and earn autonomy workflow by workflow toward the autonomous AI underwriter. We’re rebuilding underwriting infrastructure from the ground up so human underwriters and AI agents can share the same accounts, rules, documents, permissions, and workflow state. We believe every commercial insurance program will eventually be built and operated end to end by AI agents on Qlo.</t>
  </si>
  <si>
    <t xml:space="preserve">https://www.getqlo.com/</t>
  </si>
  <si>
    <t xml:space="preserve">https://www.ycombinator.com/companies/qlo</t>
  </si>
  <si>
    <t xml:space="preserve">Radley</t>
  </si>
  <si>
    <t xml:space="preserve">The AI-native radiology practice</t>
  </si>
  <si>
    <t xml:space="preserve">Radley is the first AI-native radiology practice. We're acquiring a radiology practice bringing Radley to $4.6M in annualized revenue and rebuilding it with agents from the ground up. Radiology is already in crisis: there aren't enough radiologists to interpret 1 in 6 medical scans. In 10 years, that gap is growing to 1 in 3 - 246M scans a year. From past experience, we know that point solutions won’t cut it. While there is demand (we have $2.2M in contracts to prove it), bottleneck isn't just software, it's outdated systems and slow, inefficient operations. That's why we own the full stack, clinical and operational, end to end. We met at Carbon Health as we scaled operations 31x and expanded to 100+ clinics. Now we're rebuilding radiology.</t>
  </si>
  <si>
    <t xml:space="preserve">https://radley.health/</t>
  </si>
  <si>
    <t xml:space="preserve">https://www.ycombinator.com/companies/radley</t>
  </si>
  <si>
    <t xml:space="preserve">AI-native back-office for banks and fintechs</t>
  </si>
  <si>
    <t xml:space="preserve">Rapidfolio helps banks and fintechs fully automate back-office workflows like fraud investigations, KYB/KYC and loan underwriting, with accuracy and auditability. Built by fintech founders and operators, Rapidfolio is on a mission to ensure banks and fintechs scale their customer base without adding another back-office head count.</t>
  </si>
  <si>
    <t xml:space="preserve">Making chemicals 100,000x faster</t>
  </si>
  <si>
    <t xml:space="preserve">We build foundational AI models for chemistry. Almost nothing you buy is a single chemical. Products like datacenter coolant, GPU thermal paste, paint, and glue are formulations, which are mixtures of around ten ingredients each, and demand for them has grown quickly because of AI and EVs. Designing a new formulation is essentially a search problem, because there are more possible mixtures than anyone could ever test, and none of them can be predicted in advance. As a result, bringing a single formulation to market today takes three to five years of trial and error in a lab. Our models predict how a mixture will behave far faster than the standard methods used today, which lets us design new formulations in weeks rather than years, at a fraction of the cost. To prove this, we used them to invent three chemicals that never existed before, including a PFAS-free coolant for datacenters, and we have since synthesized and patented all three. We are already working with some of the largest manufacturers to design formulations for them, and we are building our own lab to generate the data that will train our next models.</t>
  </si>
  <si>
    <t xml:space="preserve">Rational</t>
  </si>
  <si>
    <t xml:space="preserve">First Zero-human Accounting Firm</t>
  </si>
  <si>
    <t xml:space="preserve">Rational is building the first accounting firm with no humans. It's entirely run by our AI employees, who go from client intake to doing the books to filing with the IRS. We secure 90% cost reduction, 24/7 support, and an overall seamless experience for businesses.</t>
  </si>
  <si>
    <t xml:space="preserve">https://rational.to</t>
  </si>
  <si>
    <t xml:space="preserve">https://www.ycombinator.com/companies/rational</t>
  </si>
  <si>
    <t xml:space="preserve">AI-native OS for Real Estate Brokerages</t>
  </si>
  <si>
    <t xml:space="preserve">RealPact builds AI agents that handle the paperwork behind real estate transactions. They find property records like deeds, tax records, permits, parcel data, and MLS information, then use that data to fill out contracts, organize documents, track deadlines, and help brokerages close deals faster. We are starting by automating transactions and will expand into other parts of brokerage operations. Much of the software used across the real estate industry is outdated. With today’s advances in AI, we can build agents that handle this operational work and create modern software around how brokerages actually work. We currently sell to brokerages in New Hampshire and are expanding quickly.</t>
  </si>
  <si>
    <t xml:space="preserve">rekursiv.ai</t>
  </si>
  <si>
    <t xml:space="preserve">Scale AI scientists whose own breakthroughs accelerate the next.</t>
  </si>
  <si>
    <t xml:space="preserve">We're scaling self-improving AI scientist teams to ideate/experiment/discover, generating new knowledge autonomously. Their discoveries reduced ARC-1/2 costs by 10,000× while maintaining state-of-the-art accuracy and yielded material advances on combinatorial ML problems. We believe that AI is bounded not by compute, but ideas. Scaling to millions of sessions of discovery enables leveraging its own discoveries and presents a novel training source capable of ushering a new era of self-reliant foundational models.</t>
  </si>
  <si>
    <t xml:space="preserve">https://rekursiv.ai</t>
  </si>
  <si>
    <t xml:space="preserve">https://www.ycombinator.com/companies/rekursivai</t>
  </si>
  <si>
    <t xml:space="preserve">AI-native BPO for enterprise order-to-cash</t>
  </si>
  <si>
    <t xml:space="preserve">Rex is an AI-native service for order to cash. Rex replaces manual operations with AI agents that continuously manage invoices, customers and exceptions. Order to cash is a $60B outsourced function because the work is too messy for traditional automation. Every customer has different context, exceptions do not follow clean rules, and the next step is often buried in emails, portals, handoffs, or someone’s memory. Rex agents run continuously in the background and resolve work to SLA standards so cash keeps moving. We're live with pre-IPO tech companies, managing &gt;$500m in receivables from F100 companies, cutting manual follow-up cycles from weeks to hours. We founded Rex after spending four years building Sequence, an a16z-backed finance ops platform, from zero to Series A — where we saw firsthand that at-scale, O2C still runs on manual labour. Rex is the #1 winner of the Vercel AI Accelerator out of 2,500 teams, selected by Guillermo Rauch and leaders from OpenAI, Anthropic, Browserbase and more.</t>
  </si>
  <si>
    <t xml:space="preserve">Riften</t>
  </si>
  <si>
    <t xml:space="preserve">Earned intelligence for every company</t>
  </si>
  <si>
    <t xml:space="preserve">Riften builds model routing, evaluations, private models, and training environments for AI labs, AI-native companies, and enterprises. We help teams choose models for their workloads, evaluate how they perform, and build private models around company-specific work. We’re also developing coding environments where agents learn through backend engineering tasks.</t>
  </si>
  <si>
    <t xml:space="preserve">https://riften.ai</t>
  </si>
  <si>
    <t xml:space="preserve">https://www.ycombinator.com/companies/riften</t>
  </si>
  <si>
    <t xml:space="preserve">Rindler</t>
  </si>
  <si>
    <t xml:space="preserve">The IDE for Tokenmaxxers</t>
  </si>
  <si>
    <t xml:space="preserve">We build Maxxwell, a desktop app for people who run several coding agents at once. Past two or three sessions, you become the bottleneck. Every session asks you something, most of it small, and you spend the day answering instead of deciding. It is also hard to tell which sessions are making progress, which are stuck on something trivial, and which have quietly started building the wrong thing. Maxxwell puts every session in one window and marks each one working, idle, or waiting on you. On top of that sits an orchestrator, a real coding-agent session of its own that reads the others and reports back. You talk to it instead of to twelve terminals. It tells you what landed, what it decided for you, and what actually needs your call. Every worker is your own tool, unmodified. Claude Code, Codex and Cursor Agent run in real terminal sessions you can attach to and take over at any point</t>
  </si>
  <si>
    <t xml:space="preserve">https://maxxwell.dev</t>
  </si>
  <si>
    <t xml:space="preserve">https://www.ycombinator.com/companies/rindler</t>
  </si>
  <si>
    <t xml:space="preserve">Rise Reforming</t>
  </si>
  <si>
    <t xml:space="preserve">We turn waste gases into supply-secure chemicals</t>
  </si>
  <si>
    <t xml:space="preserve">Geopolitical conflicts and natural disasters frequently expose the vulnerability of the American chemical industry. The reason? Production is centralized and fossil fuel-dependent. The solution? Localized production using an undervalued resource: biogas. The US produces enough biogas to make over $20 bn/y worth of chemicals, but 60% is wasted in low-margin applications or flared altogether. Rise Reforming is commercializing a modular process to transform this underutilized biogas on-site into cheap, supply-secure chemicals. Our beachhead market is dimethyl ether (DME), used as an aerosol propellant and a low-carbon fuel additive in propane. Our target market is methanol: an established billion $ chemical and the future of low-carbon shipping. We're doing our pilot project at a Chicagoland wastewater plant. This will be the first wastewater biogas-to-methanol demo in the Americas. We're hiring for a senior chemical process engineer. Apply here: https://www.ycombinator.com/companies/rise-reforming/jobs/wJ9Q9nv-senior-chemical-process-engineer</t>
  </si>
  <si>
    <t xml:space="preserve">Chicago, IL, USA</t>
  </si>
  <si>
    <t xml:space="preserve">https://rise-reforming.com/home</t>
  </si>
  <si>
    <t xml:space="preserve">https://www.ycombinator.com/companies/rise-reforming</t>
  </si>
  <si>
    <t xml:space="preserve">Risklytics</t>
  </si>
  <si>
    <t xml:space="preserve">AI-Native Insurance for Frontier Tech</t>
  </si>
  <si>
    <t xml:space="preserve">Risklytics is the insurance company for frontier tech such as physical AI, robotics, and data centers. Companies answer 6 questions and we bind a tailored policy that other insurance companies won’t.</t>
  </si>
  <si>
    <t xml:space="preserve">https://www.risklytics.ai/</t>
  </si>
  <si>
    <t xml:space="preserve">https://www.ycombinator.com/companies/risklytics</t>
  </si>
  <si>
    <t xml:space="preserve">Robocurve</t>
  </si>
  <si>
    <t xml:space="preserve">Evals for robots</t>
  </si>
  <si>
    <t xml:space="preserve">Robocurve builds open-source tools and independent benchmarks to measure how well robots can do real-world jobs. Instead of relying on unverified demo videos from frontier labs, we score their models on reproducible benchmarks that anyone can trust. Today there are no well-run, standardized robotics benchmarks. Labs evaluate in-house, and no independent group has stepped in to run continuous benchmarking as a service. The result is that no one actually knows how good anyone else is, or where the real frontier sits. Good benchmarks require operating and maintaining physical hardware and real-world setups. Simulation only goes so far, since models that look strong in sim can show large performance gaps once deployed in the real world. Building real-world benchmarks means coordinating job-domain experts, evals engineering, and hands-on robotics all at once. Frontier labs are targeting general-purpose robotics by 2028, yet the field of robotics evals barely exists. Whoever builds the trusted measure of robot capability becomes the reference everyone relies on. We combine backgrounds in AI evals and robotics to build and grow this field as fast as possible. We already shipped v1 of our open-source framework, Inspect Robots, and ran our first pilot scoring a frontier model on a real robot.</t>
  </si>
  <si>
    <t xml:space="preserve">https://robocurve.org</t>
  </si>
  <si>
    <t xml:space="preserve">https://www.ycombinator.com/companies/robocurve</t>
  </si>
  <si>
    <t xml:space="preserve">RonanRx Inc.</t>
  </si>
  <si>
    <t xml:space="preserve">Full Stack Pharmaceutical Company for Personalized Peptides and GLP-1s</t>
  </si>
  <si>
    <t xml:space="preserve">RonanRX is a full-stack pharmaceutical company, starting with personalized peptides and GLP-1s. In our first 10 weeks, we went from having no pharmacy to being licensed in 33 states. Since launch, we’ve grown 50% week over week. We manufacture the medications ourselves, sell directly to patients, and eliminate the layers of middlemen that make prescription drugs more expensive. What makes this possible is AI. Traditional pharmaceutical companies are built to manufacture one drug for millions of people. RonanRX is purpose-built to personalize treatment for each patient: different biology, different response, different dose. Patients come directly to RonanRX or through doctors using our platform. Every patient completes our medical intake, meets with a licensed doctor through our telehealth platform, and receives a personalized prescription when appropriate. From there, we manufacture the medication ourselves and deliver it directly to the patient. Labs, wearables, medical history, treatment response, and other health data feed back into the platform so doctors can continuously refine treatment over time. Before AI, doing this for every patient at scale was impossible. We didn't invent the demand we are seeing. 80 Million people are on a GLP-1 and millions more are using Peptides. We're building a better way to manufacture, personalize, prescribe, and deliver them. Our founders have built and exited multiple companies, raised more than $100M, built a $50M U.S. medical manufacturing business, and spent years developing peptide therapeutics at companies including Eli Lilly and AbbVie. We’re just getting started with peptides and GLP-1s. Next comes hormone therapy and the rest of personalized medicine.</t>
  </si>
  <si>
    <t xml:space="preserve">https://ronanrx.com/</t>
  </si>
  <si>
    <t xml:space="preserve">https://www.ycombinator.com/companies/ronanrx-inc</t>
  </si>
  <si>
    <t xml:space="preserve">Salem Robotics Inc</t>
  </si>
  <si>
    <t xml:space="preserve">Deploying robots to replace workers in hazardous spaces</t>
  </si>
  <si>
    <t xml:space="preserve">Our software turns any robot we deploy into an everyday independent worker at your facility. They are able to walk sites, handle instruments, overcome obstacles, collect measurements, and generate auditable compliance records, replacing hours of mandatory manual surveys and inspections. Built by Los Alamos robotics veterans and deterministic-manipulation researchers, we started in nuclear and are already expanding to other hazardous industries.</t>
  </si>
  <si>
    <t xml:space="preserve">https://salemroboticsinc.com</t>
  </si>
  <si>
    <t xml:space="preserve">https://www.ycombinator.com/companies/salem-robotics-inc</t>
  </si>
  <si>
    <t xml:space="preserve">Turn your company's computer work into AI agents.</t>
  </si>
  <si>
    <t xml:space="preserve">Screenpipe records and learns how people in your company work and turns it into a searchable memory, documents, and AI agents. Model agnostic and data is stored on your device and/or where your team choose, source available.</t>
  </si>
  <si>
    <t xml:space="preserve">Shielded</t>
  </si>
  <si>
    <t xml:space="preserve">We help Fortune 500 companies hedge their supply chain risk</t>
  </si>
  <si>
    <t xml:space="preserve">Shielded connects companies’ internal and external data to map market shifts, tariffs, and disruptions directly to suppliers, products, and margins. We turn those impacts into real-time decisions that grow and protect the business.</t>
  </si>
  <si>
    <t xml:space="preserve">https://www.shieldedglobal.com/</t>
  </si>
  <si>
    <t xml:space="preserve">https://www.ycombinator.com/companies/shielded</t>
  </si>
  <si>
    <t xml:space="preserve">Shiraz AI</t>
  </si>
  <si>
    <t xml:space="preserve">Robots that learn on the job</t>
  </si>
  <si>
    <t xml:space="preserve">We deploy robots that learn new tasks from a single human demonstration in the factory. We're starting in contract manufacturing, where lines change every week and both traditional automation and today's VLAs fall over. Our founding team has 20+ years of experience in robotics. Navid was part of the core team that productized Spot at Boston Dynamics and led manipulation projects there. Before that, he was at Rethink Robotics. Mojtaba led whole-body control and manipulation efforts at Amazon Robotics and was a Research Assistant Professor at Northwestern University.</t>
  </si>
  <si>
    <t xml:space="preserve">https://shiraz.ai</t>
  </si>
  <si>
    <t xml:space="preserve">https://www.ycombinator.com/companies/shiraz-ai</t>
  </si>
  <si>
    <t xml:space="preserve">Sidekick</t>
  </si>
  <si>
    <t xml:space="preserve">AI agent that manages manufacturing operations over text</t>
  </si>
  <si>
    <t xml:space="preserve">Sidekick is an AI agent that runs custom manufacturing operations over text. Workers text a problem, photo, video, or voice memo and get an answer from the shop's own documents. It reads live machine data and acts on its own: flagging issues before they become downtime, opening and routing work orders, and placing purchase orders. No app, no login. These shops run on tribal knowledge: a handful of veterans know how every job is set up, and they are retiring. Sidekick learns from every message it handles, so answers outlive the people who gave them, and shops run 15% more jobs with the same crew. Sidekick captures it as a byproduct of the work, in an industry that was never documented.</t>
  </si>
  <si>
    <t xml:space="preserve">https://textsidekick.com/</t>
  </si>
  <si>
    <t xml:space="preserve">https://www.ycombinator.com/companies/textsidekick</t>
  </si>
  <si>
    <t xml:space="preserve">Skymerse</t>
  </si>
  <si>
    <t xml:space="preserve">Autopilot for Flight Operations</t>
  </si>
  <si>
    <t xml:space="preserve">Skymerse is building one AI system for airline flight operations: from planning and monitoring in the operations center to real-time support in the cockpit. It is developing specialized aeronautical models that understand the data, constraints, and procedures behind each flight, replacing fragmented tools and manual interpretation. Notamify, its first product, already serves airline customers and thousands pilots and aviation professionals.</t>
  </si>
  <si>
    <t xml:space="preserve">https://skymerse.com</t>
  </si>
  <si>
    <t xml:space="preserve">https://www.ycombinator.com/companies/skymerse</t>
  </si>
  <si>
    <t xml:space="preserve">SpaceFlow Technologies, Inc.</t>
  </si>
  <si>
    <t xml:space="preserve">AI-native procurement services for the physical economy</t>
  </si>
  <si>
    <t xml:space="preserve">SpaceFlow is an AI-native procurement services company for businesses that make, move and serve physical goods. We help procurement teams bring more spend under management, execute source-to-contract work and turn identified savings into realized savings without adding headcount or replacing existing systems.</t>
  </si>
  <si>
    <t xml:space="preserve">https://spaceflow.tech</t>
  </si>
  <si>
    <t xml:space="preserve">https://www.ycombinator.com/companies/spaceflow-technologies-inc</t>
  </si>
  <si>
    <t xml:space="preserve">Spectre Intelligence</t>
  </si>
  <si>
    <t xml:space="preserve">We are a multi-strategy trading firm that trains AI traders.</t>
  </si>
  <si>
    <t xml:space="preserve">Spectre Intelligence is a neotrading firm. We create AI traders instead of hiring human ones. Currently trading semis + bio.</t>
  </si>
  <si>
    <t xml:space="preserve">https://www.spectreintelligence.ai</t>
  </si>
  <si>
    <t xml:space="preserve">https://www.ycombinator.com/companies/spectre-intelligence</t>
  </si>
  <si>
    <t xml:space="preserve">OpenRouter for Voice AI: one API, every call on the best speech model</t>
  </si>
  <si>
    <t xml:space="preserve">Speko is a router for voice models: one API key, and your voice agent runs on the speech-to-text, LLM, and text-to-speech models we measured as best for your language and use case. The measurements are public at benchmarks.speko.ai: we test new models the day they ship and re-route when the numbers change, so you rewrite nothing. We ran this bake-off by hand for four years at previous company, shipping production voice for Fortune 500s.</t>
  </si>
  <si>
    <t xml:space="preserve">Standard Machines</t>
  </si>
  <si>
    <t xml:space="preserve">Teaching AI to Design Chips</t>
  </si>
  <si>
    <t xml:space="preserve">We build environments and evaluations to train and evaluate models on advanced chip design.</t>
  </si>
  <si>
    <t xml:space="preserve">https://standardmachines.com</t>
  </si>
  <si>
    <t xml:space="preserve">https://www.ycombinator.com/companies/standard-machines</t>
  </si>
  <si>
    <t xml:space="preserve">Stoa</t>
  </si>
  <si>
    <t xml:space="preserve">The market behind AI hardware.</t>
  </si>
  <si>
    <t xml:space="preserve">Stoa provides pricing and trading infrastructure for AI hardware, live with an RFQ marketplace where companies buy and sell GPUs through vetted dealers real-time.</t>
  </si>
  <si>
    <t xml:space="preserve">https://www.stoaexchange.com</t>
  </si>
  <si>
    <t xml:space="preserve">https://www.ycombinator.com/companies/stoa</t>
  </si>
  <si>
    <t xml:space="preserve">Studio</t>
  </si>
  <si>
    <t xml:space="preserve">Accurately simulate market response at scale</t>
  </si>
  <si>
    <t xml:space="preserve">Studio is a simulation lab studying how humans and societies respond to new ideas, and is building the first software models that can accurately predict that response. Instead of creating digital twins of survey respondents, Studio builds live market models of interconnected audience segments from real, traceable consumer-behavior data. Our simulations match live KPI outcomes like revenue and purchase behavior with over 97% accuracy for consumer-facing enterprises, higher than any synthetic panel, simulation lab, or traditional market research.</t>
  </si>
  <si>
    <t xml:space="preserve">https://trystudio.ai</t>
  </si>
  <si>
    <t xml:space="preserve">https://www.ycombinator.com/companies/studio</t>
  </si>
  <si>
    <t xml:space="preserve">SubVysion</t>
  </si>
  <si>
    <t xml:space="preserve">Autonomous rovers to make the ‘Google Maps’ of underground utilities</t>
  </si>
  <si>
    <t xml:space="preserve">We build centimeter-accurate 3D maps of underground utilities to help construction contractors dig safer and faster. With underground intelligence, contractors can avoid dangerous utility strikes and costly project delays.</t>
  </si>
  <si>
    <t xml:space="preserve">https://subvysion.com</t>
  </si>
  <si>
    <t xml:space="preserve">https://www.ycombinator.com/companies/subvysion</t>
  </si>
  <si>
    <t xml:space="preserve">We are building an AI-native telemedicine clinic for addiction. 🌻</t>
  </si>
  <si>
    <t xml:space="preserve">Sunflower is building an AI-native telemedicine clinic for addiction. There are over 18,750 patients on a waitlist for Therapy or Meds, representing $153M worth of TAM just waiting to be served. We started by launching Sunflower Sober, the first AI Sponsor for addiction which grew to 100 MAU in less than 6 months and currently driving about $1.5M in run-rate worth of subscription app revenue. Sunflower Sober is currently pacing to add over 800,000 new users a year which means we are growing literally faster than Alcoholics Anonymous. We have built one of the largest and most deeply loved brands within sobriety, and now we are building the clinical services underneath this brand to better fulfill on our mission &amp; serve Medicaid who spends over $30B a year on SUD services. Sunflower is founded by Koby who previously led Growth at Rupa from $5M to $75M/year. Our team includes clinical leaders (MDs / LPCs) from the Mayo Clinic, Choose Your Horizon, &amp; Charlie Health.</t>
  </si>
  <si>
    <t xml:space="preserve">Synapse Semiconductor</t>
  </si>
  <si>
    <t xml:space="preserve">New semiconductors that merge compute and vision</t>
  </si>
  <si>
    <t xml:space="preserve">We want to push machines to where humans cant go. Presidential early career award winning Duke Semiconductor ECE Faculty Tania Roy and Sanjeev Chauhan are building a frontier semiconductor research lab. Their focus is on solving physical AI challenges from the semiconductor device level and building products around the moat of impossible to copy innovation. Their first work is on a new vision sensor that can run neural network filters right in the camera pixels and only collect data that machines care about. As physical AI develops, machines needs to understand the world around them if they aim to interact with them.</t>
  </si>
  <si>
    <t xml:space="preserve">https://synapsesemi.org</t>
  </si>
  <si>
    <t xml:space="preserve">https://www.ycombinator.com/companies/synapse-semiconductor</t>
  </si>
  <si>
    <t xml:space="preserve">TareBio</t>
  </si>
  <si>
    <t xml:space="preserve">Vaccines for any cancer or infection in weeks.</t>
  </si>
  <si>
    <t xml:space="preserve">Our platform develops personalized or population-level vaccines for any disease in weeks by changing only one input: the immune imprint. Instead of trying to predict which antigens might work, we read out immune cells already fighting the disease in the body and reverse-engineer antigens that activate them. We've already run our platform end-to-end and created a vaccine that cured cancer in mice.</t>
  </si>
  <si>
    <t xml:space="preserve">https://tarebio.com/</t>
  </si>
  <si>
    <t xml:space="preserve">https://www.ycombinator.com/companies/tarebio</t>
  </si>
  <si>
    <t xml:space="preserve">Tarifflo Inc.</t>
  </si>
  <si>
    <t xml:space="preserve">Supply chain compliance and cost savings</t>
  </si>
  <si>
    <t xml:space="preserve">Tarifflo is the infrastructure layer for modern customs - AI-powered filing, tariff recovery, and customs intelligence on one platform. Filing should be free. Legacy ABI software charges you per entry, per user, per module. Brokers charge for every transaction. Tarifflo's filing software costs nothing - file directly with CBP under companies own filer codes. We make money when our clients do. 1 in 8 entries has an error that overpays duty - misclassification, tariff stacking, valuation, origin. Most importers never catch them. Our AI audits your entries, finds the overpayments, and helps file for your refund. Under both is the same engine, live tariff intelligence covering every HTS code, Chapter 99 program, exclusion, and rate change - so the duty you pay going forward is as right as the refunds we recover looking back.</t>
  </si>
  <si>
    <t xml:space="preserve">Salt Lake City, UT, USA</t>
  </si>
  <si>
    <t xml:space="preserve">https://www.tarifflo.com</t>
  </si>
  <si>
    <t xml:space="preserve">https://www.ycombinator.com/companies/tarifflo-inc</t>
  </si>
  <si>
    <t xml:space="preserve">The BlackRock of collectibles</t>
  </si>
  <si>
    <t xml:space="preserve">tash is building the investment platform for sports and trading cards. We create professionally constructed portfolios of iconic, investment-grade cards, giving investors exposure to the asset class without the hassle of selecting, buying, storing, and selling individual cards. Trading card investing remains fragmented, opaque, and difficult to access. tash is building the infrastructure to make the asset class simpler, more transparent, and professionally managed. We are currently pursuing SEC qualification to launch regulated investment offerings backed by trading cards.</t>
  </si>
  <si>
    <t xml:space="preserve">Tenor</t>
  </si>
  <si>
    <t xml:space="preserve">Infrastructure for building and scaling AI-native businesses.</t>
  </si>
  <si>
    <t xml:space="preserve">Tenor is a full-stack infrastructure for building and running AI-native businesses. We’re not just an agent framework, we manage the entire loop from how AI executes work to how every action, decision, and business outcome is captured and learned from. Owning the full stack lets companies deploy governed AI workflows, understand what actually drives results, and continuously improve how their business operates without building the infrastructure themselves.</t>
  </si>
  <si>
    <t xml:space="preserve">https://heytenor.com/</t>
  </si>
  <si>
    <t xml:space="preserve">https://www.ycombinator.com/companies/tenor</t>
  </si>
  <si>
    <t xml:space="preserve">Tensr</t>
  </si>
  <si>
    <t xml:space="preserve">Robotic factories that build robots</t>
  </si>
  <si>
    <t xml:space="preserve">Robotic factories that build robotics in the US. Currently operating a 12,000 sqft factory in the Bay Area and actively manufacturing customer orders for some of the largest robotics companies in the US and the International Space Station. We’re a group of Berkeley graduate robotics researchers who previously won a full scale autonomous IndyCar competition at 160mph.</t>
  </si>
  <si>
    <t xml:space="preserve">Emeryville, CA, USA</t>
  </si>
  <si>
    <t xml:space="preserve">https://tensr.com/</t>
  </si>
  <si>
    <t xml:space="preserve">https://www.ycombinator.com/companies/tensr</t>
  </si>
  <si>
    <t xml:space="preserve">Tokenless</t>
  </si>
  <si>
    <t xml:space="preserve">We find flaws in RL environments and evals and help you fix them.</t>
  </si>
  <si>
    <t xml:space="preserve">Tokenless is an applied AI research lab. Our goal is to end reward hacking. We do research and build tools to detect issues with environments and evals, understand model behavior in those environments, and prevent those issues from happening. Correcting them makes training more effective, makes model performance easier to interpret, and is crucial to solving the AI alignment problem. If you’re training models with RL, building environments, or running agent evals, and want more confidence in your environments, we're here to help.</t>
  </si>
  <si>
    <t xml:space="preserve">https://usetokenless.com</t>
  </si>
  <si>
    <t xml:space="preserve">https://www.ycombinator.com/companies/tokenless</t>
  </si>
  <si>
    <t xml:space="preserve">Torus</t>
  </si>
  <si>
    <t xml:space="preserve">Legora for physical engineering firms</t>
  </si>
  <si>
    <t xml:space="preserve">Torus lets engineering firms and project owners build infrastructure 10x faster to reindustrialize America and the West. We're working with multiple Fortune 500 companies to build critical infrastructure including data centers and critical energy installations.</t>
  </si>
  <si>
    <t xml:space="preserve">https://www.usetorus.com</t>
  </si>
  <si>
    <t xml:space="preserve">https://www.ycombinator.com/companies/torus</t>
  </si>
  <si>
    <t xml:space="preserve">Touchmark</t>
  </si>
  <si>
    <t xml:space="preserve">Market for future inference capacity</t>
  </si>
  <si>
    <t xml:space="preserve">Buy tokens over a time window from the provider of your choice at a price fixed today - 10-30% off the on-demand price. If your plans change - resell your reserved capacity to another buyer.</t>
  </si>
  <si>
    <t xml:space="preserve">https://touchmark.ai</t>
  </si>
  <si>
    <t xml:space="preserve">https://www.ycombinator.com/companies/touchmark</t>
  </si>
  <si>
    <t xml:space="preserve">TovenAI</t>
  </si>
  <si>
    <t xml:space="preserve">AI agents for compliance at institutional trading firms</t>
  </si>
  <si>
    <t xml:space="preserve">TovenAI builds a platform of AI agents that handle manual, data-intensive work for compliance teams at institutional trading firms, with six agents currently live. Our customers range from specialist firms to large global institutions, with our agents supporting multiple compliance workflows at a top-10 institutional brokerage. With prebuilt connectors to more than 30 systems—including Bloomberg, Cloud9, and NICE Actimize—firms can onboard to our platform and evaluate results using their own data in less than a week.</t>
  </si>
  <si>
    <t xml:space="preserve">https://toven.ai</t>
  </si>
  <si>
    <t xml:space="preserve">https://www.ycombinator.com/companies/tovenai</t>
  </si>
  <si>
    <t xml:space="preserve">CrowdStrike for AI Agents</t>
  </si>
  <si>
    <t xml:space="preserve">AI apps such as ChatGPT and Claude have become part of everyone's daily workflow, but they introduce new security risks that traditional security tools weren't built to handle. Security teams at companies from startups to Fortune 500s, are struggling to keep up. Traceforce gives a company’s security team visibility of how AI apps are being used across company’s devices, and the ability to detect and prevent security breaches and unsafe actions as early as possible.</t>
  </si>
  <si>
    <t xml:space="preserve">Tracer</t>
  </si>
  <si>
    <t xml:space="preserve">Combining open-source AI models for better answers at lower cost</t>
  </si>
  <si>
    <t xml:space="preserve">Tracer is an AI research lab building more capable and efficient AI through model coordination. We research adaptive inference, ensembling, and systems in which multiple open-source models work together to produce capabilities beyond any single model. Our work spans reasoning, code, research, and agentic systems, with the goal of making advanced intelligence more accessible and economical.</t>
  </si>
  <si>
    <t xml:space="preserve">https://tracerml.ai</t>
  </si>
  <si>
    <t xml:space="preserve">https://www.ycombinator.com/companies/tracer</t>
  </si>
  <si>
    <t xml:space="preserve">Trident</t>
  </si>
  <si>
    <t xml:space="preserve">Autonomous offensive security agents. The best defense is offense</t>
  </si>
  <si>
    <t xml:space="preserve">Trident is the standard for modern day security. its an agentic pentester that chains vulnerabilities together like a real attacker mapping verified attack paths across AWS, Azure, GCP, web apps, and APIs. Run AI attacks and get fixes. Get started today: tridentsecurity.io</t>
  </si>
  <si>
    <t xml:space="preserve">https://tridentsecurity.io/</t>
  </si>
  <si>
    <t xml:space="preserve">https://www.ycombinator.com/companies/trident</t>
  </si>
  <si>
    <t xml:space="preserve">AI FDE that deploys custom AI agents into ERPs</t>
  </si>
  <si>
    <t xml:space="preserve">Trope deploys custom AI agents into ERPs for mid-market companies. Every ERP is heavily customized, so useful agents need custom deployment too. Trope’s AI FDE learns each business and ERP, then builds and deploys agents, turning the last mile from services into software.</t>
  </si>
  <si>
    <t xml:space="preserve">Local creators for local businesses</t>
  </si>
  <si>
    <t xml:space="preserve">TryNearby connects local businesses with creators who live nearby. Restaurants subscribe monthly and automatically get booked visits from local creators who film, edit, and post a review to the local algorithm. This creates a steady stream of content that compounds into discovery on TikTok, Instagram, and increasingly AI search. Over 100 restaurants and thousands of creators are on the platform across Southern California, with AI agents handling matching, booking, and every creator conversation.</t>
  </si>
  <si>
    <t xml:space="preserve">AI career agent that finds matching jobs &amp; applies on your behalf</t>
  </si>
  <si>
    <t xml:space="preserve">Tsenta is an AI career agent that matches you with jobs, applies automatically, and gets you the best offers on the market. We grew to ~$3M Annualized in three months. We built it after manually applying to over 3,000 jobs ourselves, so that candidates would always have someone on their side. Today, more than 90,000+ job seekers trust Tsenta to automate their job search.</t>
  </si>
  <si>
    <t xml:space="preserve">Ultrasonium</t>
  </si>
  <si>
    <t xml:space="preserve">Metal manufacturing, faster, cheaper, and more versatile.</t>
  </si>
  <si>
    <t xml:space="preserve">The technologies that define this century, including data centers, rockets, satellites, and robots, are built from complex metal parts. As these systems advance, the parts get harder to make. Past a certain complexity, casting and machining stop working, and the advanced methods that remain are slow, expensive, and hazardous. Ultrasonium has invented a new manufacturing method to make these critical parts 15x faster and 75% cheaper than the methods they replace, in the U.S. and at scale. Solid metal feedstock goes in and a finished part safely comes out, controlled by a physical AI layer and novel control processes. The systems that matter most, in aerospace, energy, and compute, are demanding metal geometries that can't be machined or cast and are too expensive and slow to make with incumbent methods, at a moment when domestic manufacturing capacity is a national priority. Our founding team has built and innovated some of the most complex engineering systems known to man: quantum computers, superconductors, nuclear reactors, and novel aerospace alloy processing methods.</t>
  </si>
  <si>
    <t xml:space="preserve">https://ultrasonium.com/</t>
  </si>
  <si>
    <t xml:space="preserve">https://www.ycombinator.com/companies/ultrasonium</t>
  </si>
  <si>
    <t xml:space="preserve">AI Agents to Make Local Gov Efficient</t>
  </si>
  <si>
    <t xml:space="preserve">Verdant sells AI agents to local government to make them more efficient. We're starting with permitting, the highest-volume workflow in local government that requires judgment. Many startups fail to sell to government, but not us - we've processed 200+ applications and gone from 0 to 4 paid deployments across 4 states with an average close time of 4 weeks.</t>
  </si>
  <si>
    <t xml:space="preserve">Verdict Machine</t>
  </si>
  <si>
    <t xml:space="preserve">AI cybersecurity for financial institutions' digital assets</t>
  </si>
  <si>
    <t xml:space="preserve">Verdict Machine uses AI to understand each financial institution's complete on-chain environment, assess its cyber risk and generate tailored controls. The same live model powers transaction prevention, continuous cyber diligence, security posture and cost-efficient wallet screening. Before execution, Verdict Machine evaluates proposed transactions against the institution's active policies. In our first weeks, we started POCs with asset managers and digital-asset infrastructure providers whose systems move billions of dollars every week for financial institutions. We're now in active evaluations with digital-asset teams at some of the world's largest banks. The founding team launched and led blockchain security at Check Point (NASDAQ: CHKP).</t>
  </si>
  <si>
    <t xml:space="preserve">Tel Aviv-Yafo, Tel Aviv District, Israel</t>
  </si>
  <si>
    <t xml:space="preserve">https://verdictmachine.com</t>
  </si>
  <si>
    <t xml:space="preserve">https://www.ycombinator.com/companies/verdict-machine</t>
  </si>
  <si>
    <t xml:space="preserve">Vernius Systems, Inc.</t>
  </si>
  <si>
    <t xml:space="preserve">Mass-deployable radars for air defense</t>
  </si>
  <si>
    <t xml:space="preserve">We make mass-deployable radars for unmanned systems. Our first product is Archimedes, a radar seeker that finds and locks onto targets, enabling autonomous intercept on any drone. We have over $580M in LOIs for Archimedes, across some of the largest defense primes in Ukraine, the EU, and the Middle East. Seekers are the most critical and costly component in every autonomous interceptor. Developing a radar seeker takes a 200+ person team at Raytheon and hundreds of millions of dollars. Archimedes is 100x cheaper than existing radar seekers on the market - and is the first product to make it feasible to deploy radars on every drone.</t>
  </si>
  <si>
    <t xml:space="preserve">https://www.vernius.systems</t>
  </si>
  <si>
    <t xml:space="preserve">https://www.ycombinator.com/companies/vernius-systems-inc</t>
  </si>
  <si>
    <t xml:space="preserve">Vestris</t>
  </si>
  <si>
    <t xml:space="preserve">AI native platform for real estate closings</t>
  </si>
  <si>
    <t xml:space="preserve">Vestris automates title processing end-to-end, from contract to close, so title shops can close more deals with fewer processors. Title insurance has famously high margins, but slow, manual processing is a constant pain — especially in today's bleeding housing market.</t>
  </si>
  <si>
    <t xml:space="preserve">https://vestris.ai/</t>
  </si>
  <si>
    <t xml:space="preserve">https://www.ycombinator.com/companies/vestris</t>
  </si>
  <si>
    <t xml:space="preserve">LLMs that control robots</t>
  </si>
  <si>
    <t xml:space="preserve">Agentic procurement &amp; inventory for deep tech teams.</t>
  </si>
  <si>
    <t xml:space="preserve">Hardware teams burn weeks on procurement. An engineer needs a part. Someone emails five distributors, chases quotes, gets an approval, wires the money, tracks a shipment across three carriers, clears customs, and then nobody knows where the box is or what's actually on the shelf. Waybill runs that entire loop. Send us a part, a spec, or a BOM. We source it, pull quotes, route approvals, pay the supplier, handle freight and customs, track it to your dock, and keep your stock count updated. Take your supply chain for granted. Built by a team that's seen it at LAT Aerospace and WareIQ (YC S20).</t>
  </si>
  <si>
    <t xml:space="preserve">AI Operating System for Wholesale Distribution</t>
  </si>
  <si>
    <t xml:space="preserve">Whitespace builds AI agents that run the entire operation of supply chain businesses, starting with wholesale distributors. We give them self-improving AI agents that learn their business and do work like inventory planning and customer service. We're building towards a world where all supply chain operations run through our agents, and all physical goods purchases can happen across businesses without human touch.</t>
  </si>
  <si>
    <t xml:space="preserve">Duolingo for learning anything</t>
  </si>
  <si>
    <t xml:space="preserve">Wondering turns anything you want to learn, from LLMs to quantum mechanics to product design, into a path of three-minute lessons with visuals, podcasts, and interactive exercises. Each learning path and its content are personalized to your background, how you learn best, and how deep you want to go. It’s the most delightful way to understand complex topics and turn information into knowledge you can remember and apply. You don’t just passively read. You practice, make connections, and form your own insights. Start learning anything for free at https://wondering.app/download</t>
  </si>
  <si>
    <t xml:space="preserve">WonderTx</t>
  </si>
  <si>
    <t xml:space="preserve">Extrapolative AI to unlock First-in-Class drugs</t>
  </si>
  <si>
    <t xml:space="preserve">We’re an AI-native biotech, working on replacing needles with pills. Many drugs, like insulin or Ozempic, are wonderful except you have to inject them. We discover new molecules that you can take as a pill instead. Because the pills operate on biology which has been shown to be effective in people, rather than merely in animal models of disease, we avoid what has historically been the single biggest risk in drug discovery. This should dramatically increase our probability of success. There’s $200B of treatable diseases and validated human biology without a pill because discovery programs lack a tractable chemical starting point. This is a zero-shot inference problem, because these targets have no training data, so LLMs and other historical interpolative AI approaches are insufficient. Instead, we are building our own extrapolative frontier models that reason beyond their training data. Most critically, we have repeatedly validated our platform on both our own and partner programs. On 4 biologically- and structurally-diverse targets where we had zero training data, we successfully picked binders that were validated experimentally, with confirmation ranging from primary screen hits to crystallographic structures.</t>
  </si>
  <si>
    <t xml:space="preserve">https://wondertx.ai/</t>
  </si>
  <si>
    <t xml:space="preserve">https://www.ycombinator.com/companies/wondertx</t>
  </si>
  <si>
    <t xml:space="preserve">Zaplar</t>
  </si>
  <si>
    <t xml:space="preserve">Agentic Hotel Operating System</t>
  </si>
  <si>
    <t xml:space="preserve">Zaplar is the AI-native operating system for hotels. Hotels run on legacy software and a fragmented tech stack. Zaplar replaces the entire hotel tech stack (PMS, POS, booking engine, etc) with one software that can handle hotel operations autonomously. Learn more at https://zaplar.com</t>
  </si>
  <si>
    <t xml:space="preserve">https://zaplar.com</t>
  </si>
  <si>
    <t xml:space="preserve">https://www.ycombinator.com/companies/zaplar</t>
  </si>
  <si>
    <t xml:space="preserve">The AI BPO for financial servies, run by computer-use agents</t>
  </si>
  <si>
    <t xml:space="preserve">Zomma is building the AI workforce for financial services with computer-use agents that onboard like humans and scale like compute. Its agents handle KYC reviews, transaction alerts, and disputes on the same screens human analysts use, no integration.</t>
  </si>
  <si>
    <t xml:space="preserve">Acyclic Labs</t>
  </si>
  <si>
    <t xml:space="preserve">Agent swarms that make long-running tasks exponentially faster</t>
  </si>
  <si>
    <t xml:space="preserve">Acyclic builds the infrastructure for agent swarms: open-source primitives for running agents in parallel, and a managed agents platform that runs swarms for you. Complex, long-running tasks are split across many agents, each working in its own instant fork of the workspace, and finish in a fraction of the time. We built Acyclic because we believe there are huge gains to be had in how agents are run, beyond the models themselves. Agents can already do real work, but they still do it one step at a time, so complex tasks take hours or days. Running them as swarms is an infrastructure problem: isolating each agent, dividing the work, and merging the results without conflicts. Today, teams use Acyclic to run heavy document-processing pipelines in minutes instead of hours. At Cambridge, we researched ML and auto-parallelising compilers, and then we built multi-agent systems in production: Ram as a Palantir FDE for pharma clients, shipping systems for clinical trial design, and Varun leading agent architecture at Tracelight for Big 4 accounting firms. We kept asking the same question: the agents were good enough, so why couldn't we run thousands of them at once to make everything faster and cheaper? Acyclic is our answer.</t>
  </si>
  <si>
    <t xml:space="preserve">Fall 2026</t>
  </si>
  <si>
    <t xml:space="preserve">https://acyclic.dev</t>
  </si>
  <si>
    <t xml:space="preserve">https://www.ycombinator.com/companies/acyclic</t>
  </si>
  <si>
    <t xml:space="preserve">Agent 37</t>
  </si>
  <si>
    <t xml:space="preserve">Persistent sandboxes for agents like hermes, openclaw, claude code</t>
  </si>
  <si>
    <t xml:space="preserve">* Ready to Use Instantly: Skip the complex server setup. It comes pre loaded with top AI Agents (like Claude Code and Hermes) so your agents can start working immediately. * Keep Your Work Safe: Unlike other systems that delete everything when they finish a task, these sandboxes remember your files, code, and settings forever until you delete them. * Pay Only for What You Use: Stop paying for idle servers. You pay a tiny fee to store your files, but you only pay for compute power during the exact minutes your AI is actively running. * Zero Infrastructure Headaches: You don’t need to be a senior DevOps engineer or manage complex cloud networks. One simple command handles the entire backend for you. * Connect to Any App: Allow your AI agents to securely log into and interact with everyday tools like Slack, Gmail, and GitHub in just a few clicks.</t>
  </si>
  <si>
    <t xml:space="preserve">https://www.agent37.com/cloud</t>
  </si>
  <si>
    <t xml:space="preserve">https://www.ycombinator.com/companies/agent-37</t>
  </si>
  <si>
    <t xml:space="preserve">Agent Relay</t>
  </si>
  <si>
    <t xml:space="preserve">The infrastructure to run coding agents for your team</t>
  </si>
  <si>
    <t xml:space="preserve">Agent Relay helps software teams work better with coding agents, and helps those agents work better as a team. It gives Claude Code, Codex, OpenCode, and custom agents shared messaging, session history, and access to tools like GitHub, Linear, and Slack. Teams can see what every agent is doing, run checked and resumable workflows, and step in when human judgment is needed. Run it in our cloud, locally, or on your own hardware.</t>
  </si>
  <si>
    <t xml:space="preserve">https://agentrelay.com</t>
  </si>
  <si>
    <t xml:space="preserve">https://www.ycombinator.com/companies/agent-relay</t>
  </si>
  <si>
    <t xml:space="preserve">Ageospatial</t>
  </si>
  <si>
    <t xml:space="preserve">Physical intelligence for every decision with Geospatial AI.</t>
  </si>
  <si>
    <t xml:space="preserve">Ageospatial helps organizations value the risk on their physical assets (properties, land, infrastructure) remotely using satellite imagery. 97% of commercial properties are never physically inspected because it's too slow and expensive. So insurers price risk based on what the client or broker tells them, and about half the time at least one of those records is wrong. The result is mispricing, fraud, and an estimated $36B in premium leakage every year in the US alone, which gets exposed the moment a disaster hits. Upload a list of addresses and their GeoAI reads satellite and street-level imagery, maps, real-time data, public records and the insurer's own data to determine what's really there, which natural and human hazards surround it, what changed over time, and which properties are worth inspecting. Each property becomes a living record that underwriting, claims and pricing teams can trace from past to present. Ageospatial deploys inside carriers and MGAs as an AI-native service, so insurers get outcomes delivered.</t>
  </si>
  <si>
    <t xml:space="preserve">https://ageospatial.com/</t>
  </si>
  <si>
    <t xml:space="preserve">https://www.ycombinator.com/companies/ageospatial</t>
  </si>
  <si>
    <t xml:space="preserve">voice-first hardware interface for human-agent interaction</t>
  </si>
  <si>
    <t xml:space="preserve">antimattr builds a voice-first hardware interface for human-agent interaction that includes a ring and a pair of earphones. Designed to make more of your voice, the ring can record and summarise your conversations, capture thoughts on the go, or control your agents. The earphones use proprietary voice isolation technology to block out background noise entirely, so you can take a clear call from a loud pub or dictate with real accuracy.</t>
  </si>
  <si>
    <t xml:space="preserve">Antropi Robotics</t>
  </si>
  <si>
    <t xml:space="preserve">Autonomous CNC factories for faster hardware</t>
  </si>
  <si>
    <t xml:space="preserve">https://www.antropi.world/</t>
  </si>
  <si>
    <t xml:space="preserve">https://www.ycombinator.com/companies/antropi-robotics</t>
  </si>
  <si>
    <t xml:space="preserve">Applied Kinetics</t>
  </si>
  <si>
    <t xml:space="preserve">AI for the industries that power America.</t>
  </si>
  <si>
    <t xml:space="preserve">Applied Kinetics builds and deploys specialized AI employees to handle the coordination work behind America's energy and data center buildout. Our agents chase suppliers, track equipment approvals and delivery dates, and flag delays so project teams can keep critical equipment moving without hunting for updates across emails and spreadsheets.</t>
  </si>
  <si>
    <t xml:space="preserve">https://appliedkinetics.ai</t>
  </si>
  <si>
    <t xml:space="preserve">https://www.ycombinator.com/companies/applied-kinetics</t>
  </si>
  <si>
    <t xml:space="preserve">Archangel Health</t>
  </si>
  <si>
    <t xml:space="preserve">Infra to make AI safe enough to practice medicine</t>
  </si>
  <si>
    <t xml:space="preserve">Archangel Health builds the infrastructure to post-train and evaluate medical AI: RL environments inside real de-identified EHRs, physician-verified training data, and benchmarks that test clinical reasoning on hard cases. Frontier labs and medical AI companies use it today, and we're now moving toward post-training open-source models for health systems on their own data and their own physicians' judgment</t>
  </si>
  <si>
    <t xml:space="preserve">https://www.archangelhealth.ai/</t>
  </si>
  <si>
    <t xml:space="preserve">https://www.ycombinator.com/companies/archangel-health</t>
  </si>
  <si>
    <t xml:space="preserve">Automating away manual admin for food distributors: texts to ERP</t>
  </si>
  <si>
    <t xml:space="preserve">Restaurants send orders to food distributors by email, text, and photo. Someone at the distributor retypes every one of them into the ERP. Asakana does that entry instead: orders land in the ERP already entered, and anything unclear goes to a person before it goes in. Live at US seafood distributors today, returning 40%+ of order-desk time to selling. Founded by a seafood distributor and a Gemini builder.</t>
  </si>
  <si>
    <t xml:space="preserve">Clinical intelligence layer for skilled nursing facilities.</t>
  </si>
  <si>
    <t xml:space="preserve">Ascenix is the all-in-one incident platform that turns unstructured EHR data into automated reporting, reimbursement recovery, compliance flagging, and clinical insight. We’re already live in 50 homes and scaling across North America. We connect to systems like PointClickCare and analyze the notes nurses already write, adapting to any note structure and any compliance or reporting requirement. We help teams identify documentation gaps, uncover missed revenue opportunities and spot emerging resident risks, while reducing time spent reviewing charts and building spreadsheets. Our goal is to improve residents’ quality of life by helping care homes reach their full clinical, financial and operational potential.</t>
  </si>
  <si>
    <t xml:space="preserve">Asim</t>
  </si>
  <si>
    <t xml:space="preserve">Enable robots to operate safely in the real world.</t>
  </si>
  <si>
    <t xml:space="preserve">https://www.asim-group.com</t>
  </si>
  <si>
    <t xml:space="preserve">https://www.ycombinator.com/companies/asim-group</t>
  </si>
  <si>
    <t xml:space="preserve">Unmanned cargo airplanes</t>
  </si>
  <si>
    <t xml:space="preserve">Aviern makes unmanned cargo airplanes for commercial operations and defense logistics. In 2 months we built our own scaled aircraft that taxis, takes off, flies and lands fully autonomously and are working on a larger 50lb aircraft.</t>
  </si>
  <si>
    <t xml:space="preserve">Boat</t>
  </si>
  <si>
    <t xml:space="preserve">The best cloud VMs for billions of agents</t>
  </si>
  <si>
    <t xml:space="preserve">**Problem** Humans used to need laptops to do their work. Now they prompt agents instead, and those agents need computers too: always-on, in large quantities, and with unlimited capabilities. Building and maintaining that yourself is far from trivial. **Solution** Boat provides powerful, simple, permissive Ubuntu VMs in the cloud. In a sandbox, an agent can work for long periods on code or on knowledge work like legal, research, reporting, and auditing. **Why Boat and not any other cloud VM?** 1. It is ready out of the box: every sandbox ships with a desktop, chrome, languages, docker, snapshots, and templates, plus a CLI, SDK, API, and control pane for your fleet. 2. It is permissive and paradigm agnostic: any number of agents can use any number of sandboxes. Agents can run inside or use sandboxes as an external tool. 3. It is expertly crafted: we manage everything from the individual CPU to the orchestration software, which makes sandboxes stable, persistent, scalable, and secure. 4. It is the best performance and price in town: our CPUs rank first on HPC benchmarks, and sandboxes are typically 9x to 18x cheaper than other leading sandboxes. **Further notes** Sandboxes are hosted in Europe, which keeps prices low, and more regions are coming. Unless compliance requires it, agents don't notice the region they run in.</t>
  </si>
  <si>
    <t xml:space="preserve">https://boat.dev</t>
  </si>
  <si>
    <t xml:space="preserve">https://www.ycombinator.com/companies/boat</t>
  </si>
  <si>
    <t xml:space="preserve">Boxes.dev</t>
  </si>
  <si>
    <t xml:space="preserve">Cloud development environments for AI coding</t>
  </si>
  <si>
    <t xml:space="preserve">Port your development environment to the cloud. Give every coding agent on its own cloud computer, bring your Codex or Claude subscription, start agents from Slack and Linear, and manage them from your desktop, phone, or terminal.</t>
  </si>
  <si>
    <t xml:space="preserve">https://boxes.dev</t>
  </si>
  <si>
    <t xml:space="preserve">https://www.ycombinator.com/companies/boxesdev</t>
  </si>
  <si>
    <t xml:space="preserve">Bryel</t>
  </si>
  <si>
    <t xml:space="preserve">Building in-house, frontier AI labs for companies</t>
  </si>
  <si>
    <t xml:space="preserve">https://www.bryel.ai/</t>
  </si>
  <si>
    <t xml:space="preserve">https://www.ycombinator.com/companies/bryel</t>
  </si>
  <si>
    <t xml:space="preserve">The AI coding agent for C and C++</t>
  </si>
  <si>
    <t xml:space="preserve">ByteAsk is an AI coding agent built for C and C++, the code that runs trading systems, cars, chips, and operating systems. It does not stop at a diff that looks right. ByteAsk builds, debugs, and tests every change with the real toolchain until the change holds. If the compiler, the debugger, or the tests can catch it, then ByteAsk catches it too. It runs from the terminal or inside VS Code, Neovim, and Emacs, and is available fully on-prem.</t>
  </si>
  <si>
    <t xml:space="preserve">https://www.ycombinator.com/companies/byteask</t>
  </si>
  <si>
    <t xml:space="preserve">Capveon</t>
  </si>
  <si>
    <t xml:space="preserve">Turning infrastructure demand into action</t>
  </si>
  <si>
    <t xml:space="preserve">https://capveon.ai</t>
  </si>
  <si>
    <t xml:space="preserve">https://www.ycombinator.com/companies/capveon</t>
  </si>
  <si>
    <t xml:space="preserve">ChemPilot.ai</t>
  </si>
  <si>
    <t xml:space="preserve">Discover novel defense related materials/molecules.</t>
  </si>
  <si>
    <t xml:space="preserve">We use AI and quantum-based simulations to discover and develop new materials for defense and dual-use applications, from energetics and propellants to carbon fibers, polymers, coatings and composites. Developing a new material today takes 10+ years of trial-and-error lab work. We compress that to months, using physics-based simulation, machine learning and AI agents that only send labs candidates that can actually be made. Sam, Ofir and Maor have spent the past two years researching the discovery of these exact materials together at the Technion lab of our CSO, Prof. Alon Grinberg Dana (former MIT postdoc), working directly with defense primes and government R&amp;D agencies. Together we bring deep expertise in chemical engineering, computational chemistry and AI, and the production systems to put them to work. ChemPilot spun out of that work. The defense and dual-use industrial base runs on materials with fragile, sole-source and often adversarial supply chains, from energetics and propellants to carbon fibers, high-temperature composites and specialty polymers. Demand for new capabilities is surging, and materials take decades to develop. The West needs new materials it can make securely, fast and cheap - ChemPilot will help find and develop them.</t>
  </si>
  <si>
    <t xml:space="preserve">Haifa, Haifa District, Israel</t>
  </si>
  <si>
    <t xml:space="preserve">https://chempilot.ai/</t>
  </si>
  <si>
    <t xml:space="preserve">https://www.ycombinator.com/companies/chempilotai</t>
  </si>
  <si>
    <t xml:space="preserve">We tell sellers exactly when a company is ready to buy.</t>
  </si>
  <si>
    <t xml:space="preserve">Clean watches your market and finds your buyers from what companies actually do: customs shipments, permits, loans and supplier switches. Not just ads or web clicks.</t>
  </si>
  <si>
    <t xml:space="preserve">Collar</t>
  </si>
  <si>
    <t xml:space="preserve">AI for Investor Relations</t>
  </si>
  <si>
    <t xml:space="preserve">Collar is the AI for Investor Relations. It feeds the CEO the right number the moment an investor asks on call, answers investor questions around the clock, and remembers every investor relationship since IPO. Built by second time founders from buy side investing and military intelligence.</t>
  </si>
  <si>
    <t xml:space="preserve">https://usecollarai.com</t>
  </si>
  <si>
    <t xml:space="preserve">https://www.ycombinator.com/companies/collar</t>
  </si>
  <si>
    <t xml:space="preserve">Composal</t>
  </si>
  <si>
    <t xml:space="preserve">Swarms of agents acting like users to find bugs before release</t>
  </si>
  <si>
    <t xml:space="preserve">Check features, not code. Composal sends a swarm of agents to use your product like your users do. They test real flows and edge cases to show you what works, what breaks, and if it’s ready to ship.</t>
  </si>
  <si>
    <t xml:space="preserve">https://composal.ai</t>
  </si>
  <si>
    <t xml:space="preserve">https://www.ycombinator.com/companies/composal</t>
  </si>
  <si>
    <t xml:space="preserve">CONUS</t>
  </si>
  <si>
    <t xml:space="preserve">The AI knowledge layer for medical devices</t>
  </si>
  <si>
    <t xml:space="preserve">CONUS structures fragmented medical device information for surgeons. We combine manufacturer documentation, hospital protocols and medical research in one place, giving surgeons and MedTech teams reliable answers across products and procedures. We already work with leading manufacturers including Johnson &amp; Johnson, Stryker and Zimmer Biomet, and since launching six months ago we’ve gone live in 20 hospitals. Long term, hospitals will use CONUS to select and order implants across manufacturers.</t>
  </si>
  <si>
    <t xml:space="preserve">Cologne, NRW, Germany</t>
  </si>
  <si>
    <t xml:space="preserve">https://www.conus-med.com</t>
  </si>
  <si>
    <t xml:space="preserve">https://www.ycombinator.com/companies/conus</t>
  </si>
  <si>
    <t xml:space="preserve">Covera</t>
  </si>
  <si>
    <t xml:space="preserve">AI-native OS for insurance brokers</t>
  </si>
  <si>
    <t xml:space="preserve">Covera is the AI-native operating system for independent P&amp;C insurance agencies. It lives inside the agency's AMS and inbox and runs agentic AI workflows across the whole client journey, from the first email to the next renewal. Producers quote first and win more business; CSRs and account managers stop retyping data. Submissions, for producers: every new request becomes a ready file, one click keys every carrier portal for a first quote during the call, quotes come back side by side, and binding updates the AMS with no double entry. Servicing, for CSRs and account managers: answers about any account with their source, COIs and follow-ups drafted, renewal reminders 90, 60 and 30 days out with remarketing when premiums jump, and coverage gaps across the book turned into cross-sell leads. Agencies using Covera go from lead to quote in 5 minutes, save 10 hours a week per user and win 20% more deals against competitors. Every action is reviewed by the agency team and logged for E&amp;O. Works with Applied Epic, AMS360, QQCatalyst, HawkSoft, EZLynx, Momentum, Gmail and Outlook. Built by the founders of Simio (conversational AI, acquired in 2024).</t>
  </si>
  <si>
    <t xml:space="preserve">https://www.covera-agents.com/?utm_source=ycombinator&amp;utm_medium=company_profile&amp;utm_campaign=yc_f26</t>
  </si>
  <si>
    <t xml:space="preserve">https://www.ycombinator.com/companies/covera</t>
  </si>
  <si>
    <t xml:space="preserve">Cyclon</t>
  </si>
  <si>
    <t xml:space="preserve">a phone where AI is the interface</t>
  </si>
  <si>
    <t xml:space="preserve">Cyclon is rebuilding the phone around AI. Instead of opening apps and tapping through screens, you tell your phone what you want and it does it for you. With one touch, you can spin up AI agents to control your phone or handle tasks in the background. AI isn’t just inside an app - it’s the phone itself.</t>
  </si>
  <si>
    <t xml:space="preserve">https://cyclon.ai/</t>
  </si>
  <si>
    <t xml:space="preserve">https://www.ycombinator.com/companies/cyclon</t>
  </si>
  <si>
    <t xml:space="preserve">Databuddy</t>
  </si>
  <si>
    <t xml:space="preserve">AI Data Analyst for fast-growing teams</t>
  </si>
  <si>
    <t xml:space="preserve">Databuddy gives you your very own data analyst, always watching over your data, combining all your context to investigate and paint a full picture on every product issue that emerges in real-time; conversion drops, user frustration and churn. It makes your product better without needing to have you look at a dashboard and spend hours figuring out the why. one click to install or switch from any dated analytics provider.</t>
  </si>
  <si>
    <t xml:space="preserve">https://www.databuddy.cc</t>
  </si>
  <si>
    <t xml:space="preserve">https://www.ycombinator.com/companies/databuddy</t>
  </si>
  <si>
    <t xml:space="preserve">Decent</t>
  </si>
  <si>
    <t xml:space="preserve">Your health plan should get better year-round. Not just once a year.</t>
  </si>
  <si>
    <t xml:space="preserve">Decent is a health insurance brokerage for small businesses. We compare every way to cover your team, show what each one costs, and then keep improving your plan all year. We're paid by insurance companies, so we're free to you.</t>
  </si>
  <si>
    <t xml:space="preserve">https://decent.com</t>
  </si>
  <si>
    <t xml:space="preserve">https://www.ycombinator.com/companies/decent-com</t>
  </si>
  <si>
    <t xml:space="preserve">A live watermark inside AI voice that survives phone calls</t>
  </si>
  <si>
    <t xml:space="preserve">DeepMark is the authentication layer for AI voice. When an AI agent speaks, we embed a compact, machine-readable ID directly into the audio, not in metadata, which gets stripped the moment a file is touched. The ID resolves to a trust record, so a bank, a call center, or the person on the line can verify in real time who the agent is.</t>
  </si>
  <si>
    <t xml:space="preserve">Definite</t>
  </si>
  <si>
    <t xml:space="preserve">Build everyday back-office agents on one live model of your books</t>
  </si>
  <si>
    <t xml:space="preserve">Definite is where finance teams build everyday back-office agents on one live model of their books. We plug into your ERP, ledger, payroll, and payments read-only and compile everything into one clean model that stays current as money moves. Your back-office team then builds agents on top in plain English. We never write back and we never move money. The agents are yours, the plumbing is ours. We met in first year computer science at Waterloo and interned at Meta, Optiver, and BitGo. At Optiver they ran an n8n hackathon and the interns automated basically nothing. It couldn't talk to the systems that mattered. When we pitched banks and fintechs on agents, they kept telling us the same thing. The agent isn't the hard part, getting clean data out of their systems is. Right now, automating anything in a back office means engineers hand-stitching data from a dozen sources in different formats on different schedules. Tools like n8n and Workato assume your data is already clean and joined. In finance it never is. So the teams with the most repetitive work and smallest budgets get nothing. The hard part is the compiler. Every source gets cleaned, matched, and joined into one live model of transactions, invoices, vendors, and payments, and it has to stay right as money lands every day. Everyone throws engineers at this. We're doing it once so nobody has to again. Every back office is getting agents eventually. Whoever owns the data they read from owns the thing all of them depend on, and eventually the books themselves. That's what we're building.</t>
  </si>
  <si>
    <t xml:space="preserve">https://www.usedefinite.com</t>
  </si>
  <si>
    <t xml:space="preserve">https://www.ycombinator.com/companies/definite</t>
  </si>
  <si>
    <t xml:space="preserve">Degla Inc</t>
  </si>
  <si>
    <t xml:space="preserve">The fully autonomous intelligence layer in the sky.</t>
  </si>
  <si>
    <t xml:space="preserve">We turn natural Language into Multi-Drone Mission execution. Degla is built around a simple idea: once you’ve expressed your intent, the system owns the problem.You don’t babysit drones. You don’t micromanage failures. You don’t rewrite plans. You state the goal, Degla figures out how.</t>
  </si>
  <si>
    <t xml:space="preserve">https://degla.ai</t>
  </si>
  <si>
    <t xml:space="preserve">https://www.ycombinator.com/companies/degla-inc</t>
  </si>
  <si>
    <t xml:space="preserve">Deploy</t>
  </si>
  <si>
    <t xml:space="preserve">The generalist robot deployment company.</t>
  </si>
  <si>
    <t xml:space="preserve">Deploy's core belief is that robots should be useful. Getting a generalist robot to do real work is fundamentally the same problem across industries. We build everything between the model and the task to bring generalist robots to the businesses that actually need them.</t>
  </si>
  <si>
    <t xml:space="preserve">https://deployrobotics.co/</t>
  </si>
  <si>
    <t xml:space="preserve">https://www.ycombinator.com/companies/deploy</t>
  </si>
  <si>
    <t xml:space="preserve">Dreamscale Labs</t>
  </si>
  <si>
    <t xml:space="preserve">Real-time cloud inference for robotics.</t>
  </si>
  <si>
    <t xml:space="preserve">Dreamscale Labs is building the fastest cloud inference platform for robotics. As complex physical AI models become difficult to fit on expensive on-robot GPUs, we let users offload inference to the cloud and serve them with real-time latency. So far, we've hit 40-50% lower latency than existing neoclouds.</t>
  </si>
  <si>
    <t xml:space="preserve">https://dreamscalelabs.com</t>
  </si>
  <si>
    <t xml:space="preserve">https://www.ycombinator.com/companies/dreamscale-labs</t>
  </si>
  <si>
    <t xml:space="preserve">Dydema</t>
  </si>
  <si>
    <t xml:space="preserve">The model company for neurotech.</t>
  </si>
  <si>
    <t xml:space="preserve">A data-first model company for neurotech. We collect brain data for others, and use it to build toward general models of the brain.</t>
  </si>
  <si>
    <t xml:space="preserve">https://dydema.com/</t>
  </si>
  <si>
    <t xml:space="preserve">https://www.ycombinator.com/companies/dydema</t>
  </si>
  <si>
    <t xml:space="preserve">Elimentary</t>
  </si>
  <si>
    <t xml:space="preserve">Agents that run middle/back-office operations for Private Capital</t>
  </si>
  <si>
    <t xml:space="preserve">Elimentary’s is building AI agents that can run middle/back-office operations for private capital managers, starting with structured credit. Most private capital managers focus primarily on sourcing and capital deployment. Meanwhile post-investment operations receive step-child treatment. While AUMs have increased exponentially over the last decade, operations continue to be painfully supported by humans using spreadsheets and emails. Things have started to break leading to investment write-offs, fines, penalties, and sometimes lost LP relationships. Our agents can run these operations (borrowing base calcs, cracking loan tapes, NAV calculations, etc.) end to end autonomously. For one of our customers, our agents cut a 20-hour ops process to 30 minutes. It saved 90% of the manual hours, translating to $150k in annual savings.</t>
  </si>
  <si>
    <t xml:space="preserve">https://www.elimentary.com</t>
  </si>
  <si>
    <t xml:space="preserve">https://www.ycombinator.com/companies/elimentary</t>
  </si>
  <si>
    <t xml:space="preserve">Faraday</t>
  </si>
  <si>
    <t xml:space="preserve">Agents running industrial enterprises from back office to shop floor</t>
  </si>
  <si>
    <t xml:space="preserve">Faraday builds industrial AI that learns how enterprises operate and executes long-horizon, multi-step tasks from the back office to the shop floor. We sit on top of fragmented systems of record, coordinating work across existing software and teams. We combine operating procedures, enterprise data, and expert feedback to capture the rules and judgment behind complex processes. In customer-specific RL environments, we optimize the agent harness around each company’s systems, constraints, approvals, and exceptions. We’re connecting to industrial hardware to bring live production data into the same feedback loop. Human corrections, machine data, and operating results help improve how agents plan and execute future work.</t>
  </si>
  <si>
    <t xml:space="preserve">https://faradaycompute.com</t>
  </si>
  <si>
    <t xml:space="preserve">https://www.ycombinator.com/companies/faraday</t>
  </si>
  <si>
    <t xml:space="preserve">Forward</t>
  </si>
  <si>
    <t xml:space="preserve">Unifying Global Private Credit</t>
  </si>
  <si>
    <t xml:space="preserve">An AI platform that connects commercial debt advisors with mandate matching private credit funds.</t>
  </si>
  <si>
    <t xml:space="preserve">https://www.useforward.co/</t>
  </si>
  <si>
    <t xml:space="preserve">https://www.ycombinator.com/companies/useforward</t>
  </si>
  <si>
    <t xml:space="preserve">Frontrunner</t>
  </si>
  <si>
    <t xml:space="preserve">Cursor for GTM</t>
  </si>
  <si>
    <t xml:space="preserve">Build agents that research accounts, find prospects, run campaigns, update your CRM, qualify inbound, and more. Connect them to the systems you already use and let them work alongside your GTM team. Engineer your revenue factory on Frontrunner.</t>
  </si>
  <si>
    <t xml:space="preserve">https://usefr.com/</t>
  </si>
  <si>
    <t xml:space="preserve">https://www.ycombinator.com/companies/frontrunner</t>
  </si>
  <si>
    <t xml:space="preserve">GodHands</t>
  </si>
  <si>
    <t xml:space="preserve">Your company’s operating model, learned from the work.</t>
  </si>
  <si>
    <t xml:space="preserve">GodHands learns how your teams actually work, capturing the steps, decisions, and exceptions that never get written down. It turns that knowledge into living playbooks and answers with sources, so people and AI agents can put it to work. Teams use GodHands to run operations, onboard employees, hand over roles, integrate acquisitions, and automate work.</t>
  </si>
  <si>
    <t xml:space="preserve">https://godhands.ai</t>
  </si>
  <si>
    <t xml:space="preserve">https://www.ycombinator.com/companies/godhands</t>
  </si>
  <si>
    <t xml:space="preserve">GrayPass</t>
  </si>
  <si>
    <t xml:space="preserve">Verify that the expected person is in control before key actions.</t>
  </si>
  <si>
    <t xml:space="preserve">Login tells you who signed in. GrayPass verifies the expected person is still in control before consequential actions happen. We use cognitive biometrics like typing rhythm, cursor movement, scrolling, and response timing alongside session and device context to continuously establish assurance. Before actions like approving a payment, changing admin permissions, exporting sensitive data, or letting an AI agent act on someone’s behalf, GrayPass returns allow, challenge, hold, or deny and produces signed proof tied to that action.</t>
  </si>
  <si>
    <t xml:space="preserve">https://www.graypass.org</t>
  </si>
  <si>
    <t xml:space="preserve">https://www.ycombinator.com/companies/graypass</t>
  </si>
  <si>
    <t xml:space="preserve">Grep AI</t>
  </si>
  <si>
    <t xml:space="preserve">Self-improving agents that automate tedious operational work</t>
  </si>
  <si>
    <t xml:space="preserve">Grep AI is the fastest way to create, optimize, and deploy agents for tedious, complex operational work that slows down your business. Our self-improving agents learn from every run, making them smarter and cheaper as you scale. IG.com a global retail brokerage used our agents to review compliance alerts and now 80% of their customers onboad without manual intervention, doubling first trades and propelling them to a FTSE 100 company. Customers including Airwallex, Worldpay, Citizens Bank, FV Bank and Shopmonkey have used our agents to automate over 250,000 of operational work across compliance, onboarding, underwriting, corporate due diligence, document verification, merchant categorization, market and competitive research, rev ops and much more. We founded Grep AI after experiencing firsthand how manual workflows can prevent a business from growing when we ran the platform team at Brex. We're now on a mission to rid businesses of tedious, repetitive so their employees can focus on the most high leverage tasks that matter.</t>
  </si>
  <si>
    <t xml:space="preserve">https://grep.ai</t>
  </si>
  <si>
    <t xml:space="preserve">https://www.ycombinator.com/companies/grep-ai</t>
  </si>
  <si>
    <t xml:space="preserve">HABU</t>
  </si>
  <si>
    <t xml:space="preserve">Like Crosby, but for real estate development</t>
  </si>
  <si>
    <t xml:space="preserve">HABU is an AI-native real estate development firm that helps real estate investors deploy capital to build housing faster, at lower cost, and with higher yield. We're building an internal AI-native operating system that completes 90%+ of development tasks at 95% faster processing speeds while delivering the same outcomes customers expect externally: high yield, low risk projects. We're selling the outcome, not the inputs to the outcome. Developers are service providers for white-collar investors: they find land, construct buildings, and operate and sell them for a profit. Our customers don't care how the projects are sourced or managed, only that they are completed on time and produce the forecasted returns. We use agentic workflows, geospatial analysis and mapping, and development-specific workflow automation to manage the end-to-end process. The result is 5x more projects per FTE compared to a non-AI developer, 20% faster project schedules, and 10-15% lower total project costs. We're *not* long term property owners, strictly the service provider (fee/merchant developer). $160B was deployed into multifamily in 2025 and $534B into commercial real estate overall. Developers naturally have high operating margins and we are building to be the most operationally and capital efficient developer in the country. Starting first with multifamily in Phoenix and then expanding nationally.</t>
  </si>
  <si>
    <t xml:space="preserve">Phoenix, AZ, USA</t>
  </si>
  <si>
    <t xml:space="preserve">https://buildhabu.com</t>
  </si>
  <si>
    <t xml:space="preserve">https://www.ycombinator.com/companies/habu</t>
  </si>
  <si>
    <t xml:space="preserve">Halmos Labs</t>
  </si>
  <si>
    <t xml:space="preserve">Maximum information per experiment, minimum experiments per conclusion</t>
  </si>
  <si>
    <t xml:space="preserve">Halmos Labs builds automated biotech R&amp;D on the principles of validity and interpretabillity. We run research, and simulations answering open questions ranging from wetlab experiment design to full cancer vaccine manufacturing.</t>
  </si>
  <si>
    <t xml:space="preserve">Lund, Skåne County, Sweden</t>
  </si>
  <si>
    <t xml:space="preserve">https://halmoslabs.com/</t>
  </si>
  <si>
    <t xml:space="preserve">https://www.ycombinator.com/companies/halmos-labs</t>
  </si>
  <si>
    <t xml:space="preserve">Force-sensing wristband for training robotic AI</t>
  </si>
  <si>
    <t xml:space="preserve">Every serious robotics lab is bottlenecked on the same thing: demonstration data. The field has converged on egocentric video and hand pose as the substrate, and both are now cheap to collect at scale. What neither of them contains is force. A video of someone picking up an egg and a video of someone picking up a rock are nearly identical in pixel space and nearly identical in joint angles. They differ almost entirely in a quantity nobody is recording. Policies trained without it learn geometry and inherit no sense of touch. Hemlock closes that gap at the source. Our device, the Bracelet, is a wrist-worn surface EMG band that reads the electrical activity of the forearm muscles that actually drive the hand, which means it recovers contraction force directly rather than inferring it from motion. This distinction is the whole thesis: force cannot be reconstructed downstream of kinematics, because a hand squeezing hard isometrically and a hand resting can occupy the identical pose. Muscle signal is the only non-invasive channel that separates them.</t>
  </si>
  <si>
    <t xml:space="preserve">herdr</t>
  </si>
  <si>
    <t xml:space="preserve">building the open agent runtime</t>
  </si>
  <si>
    <t xml:space="preserve">Developers don't run one coding agent anymore. They run fleets of them — for hours, sometimes days — across laptops, servers, and sandboxes. Keeping track of that work is the new bottleneck: which agent is blocked, which one finished, which terminal is it in, and why did everything die when the laptop closed. Herdr is the open-source home for that work. A background server owns the agents' terminal sessions on each machine, so the work survives disconnects, closed lids, and dropped SSH. Herdr detects each agent and turns the chaos into an attention queue — working, blocked, done, across every project — so you look only when an agent needs you. Every client is just a view: the bundled terminal UI, SSH from another machine, your phone. Close one, open another; the work never stops. Software can drive it too: a CLI, a socket API, and a plugin marketplace that passed 500 community plugins in its first month. The runtime is Apache-2.0 and stays open. Four months after launch: 25k GitHub stars, 340k downloads.</t>
  </si>
  <si>
    <t xml:space="preserve">Ankara, Ankara, Turkey</t>
  </si>
  <si>
    <t xml:space="preserve">https://herdr.dev/</t>
  </si>
  <si>
    <t xml:space="preserve">https://www.ycombinator.com/companies/herdr</t>
  </si>
  <si>
    <t xml:space="preserve">AI Claims Investigator for Insurance</t>
  </si>
  <si>
    <t xml:space="preserve">Hesper AI builds AI agents that investigate P&amp;C insurance claims end to end. Hesper’s agents read the claim file, detect tampered documents, verify facts, check coverage, flag inconsistencies, and produce an audit-ready case file in minutes, so insurers can check every claim. We work with Claims and SIU orgs at Carriers, MGAs and TPAs,</t>
  </si>
  <si>
    <t xml:space="preserve">Hickory &amp; Company</t>
  </si>
  <si>
    <t xml:space="preserve">Hickory offers agentic compliance and BSA for banks and fintechs</t>
  </si>
  <si>
    <t xml:space="preserve">https://hickory.co</t>
  </si>
  <si>
    <t xml:space="preserve">https://www.ycombinator.com/companies/hickory-and-company</t>
  </si>
  <si>
    <t xml:space="preserve">Fast inference for voice</t>
  </si>
  <si>
    <t xml:space="preserve">Hopper post-trains STT, TTS, and speech LLMs on your production calls, then serves and improves them against your live traffic</t>
  </si>
  <si>
    <t xml:space="preserve">Hue</t>
  </si>
  <si>
    <t xml:space="preserve">Test agents in realistic worlds built from production usage</t>
  </si>
  <si>
    <t xml:space="preserve">Hue turns production usage of agents into repeatable tests that preserve the tools, data, and state behind the real run. As AI agents take on real work, their behavior depends increasingly on the nuances of the world around them. With Hue, teams can test and improve their agents under conditions that mimic real usage.</t>
  </si>
  <si>
    <t xml:space="preserve">https://hue.run/</t>
  </si>
  <si>
    <t xml:space="preserve">https://www.ycombinator.com/companies/hue</t>
  </si>
  <si>
    <t xml:space="preserve">100% automated inspection for consumer electronics parts</t>
  </si>
  <si>
    <t xml:space="preserve">Hundred is an automated inspection system for the components that make up consumer devices like phones, smartwatches, and laptops. Hundred helps factories cut waste and prevent line-down issues by catching sub-millimeter cosmetic defects before parts reach the assembly line. In the consumer electronics industry, designs change so fast that traditional machine vision can't keep up, forcing factories to rely on manual inspection, literally people checking parts under microscopes to sort out bad parts. Human inspectors miss roughly 15% of defects, and a single bad part can turn a finished device into scrap. Hundred is replacing manual inspection with an imaging rig that scans an entire shipping tray of parts at once. The Hundred rig blocks ambient light and uses varied controlled lighting configurations to detect defects smaller than 100µm on a range of materials. The controlled environment means Hundred only needs to scan a single good part before it can find defects, categorize them, and assess their severity accurately. Defects cost U.S. discrete manufacturers $45 billion a year, a problem Hundred's CEO, Erica, saw firsthand as a mechanical engineer designing devices at Meta, Google, and Magic Leap. She met Imani, Hundred's CPO, at Columbia University's admitted-students day in 2017 and Imani went on to spend five years at Twitch building software that handles billions of requests a day. Erica later met Iris, Hundred's CTO, in the Bay Area. Iris worked as a quant at Citadel before pivoting to study at Imperial College London where she researched machine learning on 3D meshes and other structured data. Together, they're building Hundred because manual inspection shouldn't still exist in 2026.</t>
  </si>
  <si>
    <t xml:space="preserve">Ignition Benefits</t>
  </si>
  <si>
    <t xml:space="preserve">The AI-Native Benefits Brokerage</t>
  </si>
  <si>
    <t xml:space="preserve">Ignition is an AI-native employee benefits brokerage for companies with under 200 employees. Health insurance is one of the largest line items these companies carry, and employers absorb 15 to 40% rate increases year after year without ever seeing their own numbers. We have rebuilt the sales and back office to be AI-first. This market represents about $500B of market cap, and those businesses have not fundamentally changed in over 50 years. While scaling Plated, I wore every HR hat from doing payroll myself, to managing a PEO, to eventually hiring an employee benefits broker on our way to 1,500 employees. We wasted over $4M on benefits over 5 years, and I'm building Ignition to help companies under 200 employees avoid making my mistakes.</t>
  </si>
  <si>
    <t xml:space="preserve">https://www.ignitionbenefits.com/</t>
  </si>
  <si>
    <t xml:space="preserve">https://www.ycombinator.com/companies/ignition-benefits</t>
  </si>
  <si>
    <t xml:space="preserve">Inflection Space Systems</t>
  </si>
  <si>
    <t xml:space="preserve">Hyperscaling space manufacturing</t>
  </si>
  <si>
    <t xml:space="preserve">Inflection is building the industrial capacity to manufacture tens of thousands of spacecraft per year for next generation commercial and government space applications. Imagine a factory that looks like an Amazon fulfillment center instead of a NASA clean room.</t>
  </si>
  <si>
    <t xml:space="preserve">https://inflection-space.com/</t>
  </si>
  <si>
    <t xml:space="preserve">https://www.ycombinator.com/companies/inflection-space-systems</t>
  </si>
  <si>
    <t xml:space="preserve">Invertix</t>
  </si>
  <si>
    <t xml:space="preserve">Energy Superintelligence, AI that operates critical infrastructure</t>
  </si>
  <si>
    <t xml:space="preserve">The next constraint is not intelligence, it is the energy and operational cost of running it. We deploy custom AI models inside critical infrastructure companies that ingest SCADA data, work orders, human interventions, operational data no public model has seen, grounded in physics-informed neural networks and differentiable simulators. This creates a flywheel: more operator data → better process understanding → more efficient operations → cheaper energy → cheaper AI → more deployment → more data. https://www.youtube.com/watch?v=0uDH6pMn5OE AI compute doubles every 2.2 years. Data center demand grows from 415 to 945 TWh by 2030. Without near-zero energy cost, AI remains limited by human infrastructure. We are the layer that runs AI at zero energy cost. Energy is a $10 trillion market. The infrastructure layer doesn't exist yet. We are building it.</t>
  </si>
  <si>
    <t xml:space="preserve">https://www.invertix.ai</t>
  </si>
  <si>
    <t xml:space="preserve">https://www.ycombinator.com/companies/invertix</t>
  </si>
  <si>
    <t xml:space="preserve">isoquant</t>
  </si>
  <si>
    <t xml:space="preserve">Self-optimizing inference cloud for faster, cheaper AI</t>
  </si>
  <si>
    <t xml:space="preserve">https://isoquant.ai/</t>
  </si>
  <si>
    <t xml:space="preserve">https://www.ycombinator.com/companies/isoquant</t>
  </si>
  <si>
    <t xml:space="preserve">A factory for small and specialized video reasoning models</t>
  </si>
  <si>
    <t xml:space="preserve">The world generates petabytes of video every day, and almost none of it is readable to machines. Frontier VLMs that can unlock this (like Gemini) are too expensive to run at the volume real industries have, too generic for any single task, and can't be deployed on-prem where sensitive video lives. We are building an auto vision factory: take video plus a customer's objective, distill a frontier model, and post-train a small open model that is SOTA on that one task and serve it blazingly fast. Our first product, Marlin, is a 2B-parameter open-weights video VLM that matches Gemini-2.5-flash on dense captioning and temporal grounding at a fraction of the cost.</t>
  </si>
  <si>
    <t xml:space="preserve">Keres</t>
  </si>
  <si>
    <t xml:space="preserve">Kill the drone, keep the jet. Reusable unmanned interceptors.</t>
  </si>
  <si>
    <t xml:space="preserve">Keres (KAIR-eez) builds reusable unmanned jet interceptors for air defense. The Garmur launches on cue, closes at jet speed, positively identifies and kills drones and cruise missiles, then lands to fly again. It gives commanders a fighter-class response at a fraction of the cost.</t>
  </si>
  <si>
    <t xml:space="preserve">https://www.keresaero.com/</t>
  </si>
  <si>
    <t xml:space="preserve">https://www.ycombinator.com/companies/keres</t>
  </si>
  <si>
    <t xml:space="preserve">Lambda Robotics</t>
  </si>
  <si>
    <t xml:space="preserve">Robotics for AI Infrastructure</t>
  </si>
  <si>
    <t xml:space="preserve">Lambda Robotics builds and deploys robots for the infrastructure powering frontier AI.</t>
  </si>
  <si>
    <t xml:space="preserve">https://lambdarobotics.ai</t>
  </si>
  <si>
    <t xml:space="preserve">https://www.ycombinator.com/companies/lambda-robotics</t>
  </si>
  <si>
    <t xml:space="preserve">Lantern AI</t>
  </si>
  <si>
    <t xml:space="preserve">Turn Your Taste Into Hires</t>
  </si>
  <si>
    <t xml:space="preserve">Lantern learns what exceptional looks like for your team, pressure-tests the role against the real talent market, then runs the hiring loop: sourcing, inbound applications, interviews, assessments, candidate communication, and offers.</t>
  </si>
  <si>
    <t xml:space="preserve">https://www.lantern.md</t>
  </si>
  <si>
    <t xml:space="preserve">https://www.ycombinator.com/companies/lantern-ai</t>
  </si>
  <si>
    <t xml:space="preserve">Lark</t>
  </si>
  <si>
    <t xml:space="preserve">Lark - AI agents that automate workflows for wholesale distributors</t>
  </si>
  <si>
    <t xml:space="preserve">Lark deploys AI agents that automate manual workflows for wholesale distributors, everything from customer quotes to inventory managment. Our agents work with existing ERP systems, learning from each distributor’s historical data and the team’s decisions. Together, these agents can run a distributor’s entire operation.</t>
  </si>
  <si>
    <t xml:space="preserve">https://larkagents.com</t>
  </si>
  <si>
    <t xml:space="preserve">https://www.ycombinator.com/companies/lark-2</t>
  </si>
  <si>
    <t xml:space="preserve">Latent</t>
  </si>
  <si>
    <t xml:space="preserve">Catch wrong LLM answers before your customers do</t>
  </si>
  <si>
    <t xml:space="preserve">Latent catches wrong or unsupported LLM answers before they reach your users. Instead of running a second model to check every output, it reads the model's own internal state as it generates, so every request is verified with no added latency, no extra inference cost, and nothing leaving your deployment. Teams running LLMs in production, in finance, legal, healthcare and customer support, get a review queue of the answers most likely to be wrong, calibrated to their own model and traffic, with a plain explanation of why each one was flagged.</t>
  </si>
  <si>
    <t xml:space="preserve">http://runlatent.ai/</t>
  </si>
  <si>
    <t xml:space="preserve">https://www.ycombinator.com/companies/trylatent</t>
  </si>
  <si>
    <t xml:space="preserve">Lyon</t>
  </si>
  <si>
    <t xml:space="preserve">Foundation models on enterprise transaction data.</t>
  </si>
  <si>
    <t xml:space="preserve">Lyon builds private foundation models for banks, insurance companies, and fintechs. Each model learns from the company’s proprietary transactions, payments, clicks, and customer interactions to predict credit, fraud, collections, income, churn, and lifetime value; and runs inside the company’s cloud, so its data and intelligence remain under its control. Lyon is already working with a major insurer and trained a model on 28B transactions for a fintech serving tens of millions of active users, identifying premium-card converters 4x more precisely than its existing rules; the model is now being deployed for credit.</t>
  </si>
  <si>
    <t xml:space="preserve">https://lyon.so</t>
  </si>
  <si>
    <t xml:space="preserve">https://www.ycombinator.com/companies/lyon</t>
  </si>
  <si>
    <t xml:space="preserve">Mantle</t>
  </si>
  <si>
    <t xml:space="preserve">The pit crew for machines and robots.</t>
  </si>
  <si>
    <t xml:space="preserve">Mantle is a full-stack field service company that deploys, fixes and maintains machines for the companies that build them. We're not a marketplace or software tool, we own uptime directly to provide better, more reliable service without burdening your engineers on support calls. $500B+ a year is spent to keep machines running in the US, we're coming for all of it.</t>
  </si>
  <si>
    <t xml:space="preserve">https://www.ycombinator.com/companies/mantle-2</t>
  </si>
  <si>
    <t xml:space="preserve">Maritime</t>
  </si>
  <si>
    <t xml:space="preserve">The managed cloud for AI agents.</t>
  </si>
  <si>
    <t xml:space="preserve">Maritime is a fully managed cloud platform for startups selling AI agents. We help them run thousands of agents, each in its own isolated, persistent computer, starting at $1 per agent per month, with all underlying infrastructure, scaling, sleep/wake, and monitoring handled automatically.</t>
  </si>
  <si>
    <t xml:space="preserve">https://maritime.sh/</t>
  </si>
  <si>
    <t xml:space="preserve">https://www.ycombinator.com/companies/maritime</t>
  </si>
  <si>
    <t xml:space="preserve">Melty</t>
  </si>
  <si>
    <t xml:space="preserve">Mashup any game</t>
  </si>
  <si>
    <t xml:space="preserve">https://www.melty.gg</t>
  </si>
  <si>
    <t xml:space="preserve">https://www.ycombinator.com/companies/melty-gg</t>
  </si>
  <si>
    <t xml:space="preserve">Micora</t>
  </si>
  <si>
    <t xml:space="preserve">Microgrids in a box built anywhere in days</t>
  </si>
  <si>
    <t xml:space="preserve">Micora builds a solar-farm-in-a-box that can be shipped anywhere and built without specialized labor. We have designed a new type of solar farm micorgrid that is palletized, lightweight, and deployable. Our system autonomously builds 100kWp of capacity per day and is easily scalable to MWs of capacity which is a size currently only serviced by slow moving and at capacity EPCs. As demand from data centers, advanced manufacturing, and electrification strains existing power infrastructure, the ability to deploy substantial generation quickly is becoming increasingly valuable and unavailable. We are the only company that services utility-scale power needs in weeks.</t>
  </si>
  <si>
    <t xml:space="preserve">https://micora.com</t>
  </si>
  <si>
    <t xml:space="preserve">https://www.ycombinator.com/companies/micora</t>
  </si>
  <si>
    <t xml:space="preserve">Mirrors</t>
  </si>
  <si>
    <t xml:space="preserve">Give AI agents the right context at the right moment</t>
  </si>
  <si>
    <t xml:space="preserve">Production agents handle many different customer workflows. Currently, when one handles a situation badly, an engineer reads the trace and patches the prompt. The next situation needs another exception. Soon, improving the agent becomes a recurring engineering job, and the prompt keeps growing. Mirrors finds patterns in past runs. Engineers review guidance for a specific situation and preview where it would apply. Mirrors then delivers that guidance while the agent works, inside the team’s existing setup. The team can check whether the change improved the outcome. We’re building Mirrors for engineering teams running customer-facing agents across varied workflows, so they can improve behavior without hardcoding every lesson in the global prompt.</t>
  </si>
  <si>
    <t xml:space="preserve">https://www.mirrors.dev</t>
  </si>
  <si>
    <t xml:space="preserve">https://www.ycombinator.com/companies/mirrors</t>
  </si>
  <si>
    <t xml:space="preserve">Open-model inference provider for Europe, private by default.</t>
  </si>
  <si>
    <t xml:space="preserve">Munito is an open-model inference provider for Europe, private by default. Its API lets users choose their models and keep inference and storage in the EU. Founded by the former inference lead at Mistral AI, Munito is built on one belief: open and independent intelligence, both models and inference, is key to economic growth and prosperity.</t>
  </si>
  <si>
    <t xml:space="preserve">Native</t>
  </si>
  <si>
    <t xml:space="preserve">Artificial Intuition for marketing</t>
  </si>
  <si>
    <t xml:space="preserve">Native is building an autonomous marketing platform where business can do all of their marketing within one platform using our artificial intuition model called Norn, that predicts what people will respond to, researched and built in house.</t>
  </si>
  <si>
    <t xml:space="preserve">https://native.no/</t>
  </si>
  <si>
    <t xml:space="preserve">https://www.ycombinator.com/companies/native</t>
  </si>
  <si>
    <t xml:space="preserve">Neomatter</t>
  </si>
  <si>
    <t xml:space="preserve">AI that works for in-house legal teams</t>
  </si>
  <si>
    <t xml:space="preserve">Neomatter connects to a company’s email, chat, and business systems and does the legal work before it reaches the legal team. It gathers context, applies company policies and past decisions, and presents the completed work to in-house counsel for approval.</t>
  </si>
  <si>
    <t xml:space="preserve">https://neomatter.com</t>
  </si>
  <si>
    <t xml:space="preserve">https://www.ycombinator.com/companies/neomatter</t>
  </si>
  <si>
    <t xml:space="preserve">Nodus Compute</t>
  </si>
  <si>
    <t xml:space="preserve">Intelligent Cloud for AI workloads</t>
  </si>
  <si>
    <t xml:space="preserve">https://www.nodus-compute.ai/</t>
  </si>
  <si>
    <t xml:space="preserve">https://www.ycombinator.com/companies/nodus-compute</t>
  </si>
  <si>
    <t xml:space="preserve">Nxtcure Labs</t>
  </si>
  <si>
    <t xml:space="preserve">The full-stack AI CRO for drug discovery.</t>
  </si>
  <si>
    <t xml:space="preserve">Reinventing medicine from lab to drug discovery. NxtCure CRO- an AI-native, full-stack CRO built to take therapeutics from discovery to market faster. NxtCure Cancer- the all-in-one mobile platform guiding patients through the cancer journey. We’re building the operating system for the future of medicine.</t>
  </si>
  <si>
    <t xml:space="preserve">https://nxtcure.com</t>
  </si>
  <si>
    <t xml:space="preserve">https://www.ycombinator.com/companies/nxtcure-labs</t>
  </si>
  <si>
    <t xml:space="preserve">Oasive</t>
  </si>
  <si>
    <t xml:space="preserve">Helping bond investors find what's rich or cheap, and why</t>
  </si>
  <si>
    <t xml:space="preserve">Oasive helps bond investors figure out which bonds are rich or cheap, and why. We give portfolio managers, traders, analysts and investment advisers a team of AI analysts, combining fixed income research, proprietary quantitative models and scenario analysis to move from trade idea to decision in minutes. Our focus is Macro and Rates Research and MBS, with munis, ABS and corporates next.</t>
  </si>
  <si>
    <t xml:space="preserve">https://www.oasive.ai</t>
  </si>
  <si>
    <t xml:space="preserve">https://www.ycombinator.com/companies/oasive</t>
  </si>
  <si>
    <t xml:space="preserve">OnePatch</t>
  </si>
  <si>
    <t xml:space="preserve">Automate on-call at agent-scale.</t>
  </si>
  <si>
    <t xml:space="preserve">OnePatch is a forward-deployed AI SRE. It instruments your services, watches how they actually behave in prod, catches incidents, and drives each one to resolution. Think Datadog, except it doesn't stop at telling you something broke: it keeps going until the fix is shipped.</t>
  </si>
  <si>
    <t xml:space="preserve">https://onepatch.dev</t>
  </si>
  <si>
    <t xml:space="preserve">https://www.ycombinator.com/companies/onepatch</t>
  </si>
  <si>
    <t xml:space="preserve">Open Actuation</t>
  </si>
  <si>
    <t xml:space="preserve">Quick-turn, purpose-built motors &amp; actuators for all</t>
  </si>
  <si>
    <t xml:space="preserve">We design and manufacture high-mix drone motors and robotic actuators in LA. DJI, Apple, and Ford don't settle for OTS components. Likewise, the teams that win the Western robotics market will build seamless machines from tightly integrated software and hardware. Open Actuation designs motors and actuators around your robot's unique form factor and mission - then we rapidly bring them to life with proprietary software and tooling geared for high-mix machining and assembly. We've designed and built motors for top drone OEMs and can assemble thousands of motors per month at our first factory in LA. We're doing for motion components what 3D printing has done for structural components. This enables hardware teams to build and iterate at the speed of software so they can create elegant, reliable, ROI-positive robots and win massive markets.</t>
  </si>
  <si>
    <t xml:space="preserve">https://openactuation.com</t>
  </si>
  <si>
    <t xml:space="preserve">https://www.ycombinator.com/companies/open-actuation</t>
  </si>
  <si>
    <t xml:space="preserve">OpenHack</t>
  </si>
  <si>
    <t xml:space="preserve">Always-on AI security engineer</t>
  </si>
  <si>
    <t xml:space="preserve">OpenHack is an always on AI Security Engineer. OpenHack understands your business, system design and developer intent like a real security engineer. It ingests all this context to find the hardest vulnerabilities through AI codebase scanning, AI pentesting and Supply Chain Security. It verifies and prioritizes vulnerabilities automatically, and filters out false positives like a real security engineer drastically reducing overhead.</t>
  </si>
  <si>
    <t xml:space="preserve">https://openhack.com</t>
  </si>
  <si>
    <t xml:space="preserve">https://www.ycombinator.com/companies/openhack</t>
  </si>
  <si>
    <t xml:space="preserve">Open source alternative to Semrush and Ahrefs</t>
  </si>
  <si>
    <t xml:space="preserve">Connect to your AI Agent in 2 minutes. Get expert level advice tailored to your business backed by real data like keyword search traffic, backlinks, and technical audits of your site. Here are some good skills to start with: /seo-audit What 1-2 changes to your website will drive more traffic? /keyword-research Find topics worth writing about? /competitor-analysis Understand your competitors’ SEO strategy.</t>
  </si>
  <si>
    <t xml:space="preserve">OpEra</t>
  </si>
  <si>
    <t xml:space="preserve">The AI decision engine for factories, warehouses and fleets</t>
  </si>
  <si>
    <t xml:space="preserve">OpEra Technologies is the AI decision engine for factories, warehouses and fleets. Companies with physical operations make thousands of decisions every day, and we help their teams make the best one at every step from production to delivery: (1) Planning: how much to make, buy and stock. (2) Scheduling: what runs when, and who works on what. (3) Allocation: which warehouse or store gets each order. (4) Routing: boat, plane or truck, and which route each one takes. Founded out of MIT's Operations Research Center.</t>
  </si>
  <si>
    <t xml:space="preserve">https://operatechnologies.com</t>
  </si>
  <si>
    <t xml:space="preserve">https://www.ycombinator.com/companies/opera</t>
  </si>
  <si>
    <t xml:space="preserve">Orca Aerospace</t>
  </si>
  <si>
    <t xml:space="preserve">AI spacecraft operators that lives onboard the vehicle</t>
  </si>
  <si>
    <t xml:space="preserve">At Orca, we are focused on creating the future of spacecraft operations by moving control onto the vehicle. By allowing AI models to control the satellite using deterministic tooling, we are able to achieve the same holistic, high-quality decisions on "what" to do to carry out a mission while maintaining the safety of systems that decide "how" to execute it.</t>
  </si>
  <si>
    <t xml:space="preserve">https://orcaaerospace.com/</t>
  </si>
  <si>
    <t xml:space="preserve">https://www.ycombinator.com/companies/orca-aerospace</t>
  </si>
  <si>
    <t xml:space="preserve">ORO AI</t>
  </si>
  <si>
    <t xml:space="preserve">Continuously improving evals for agentic commerce</t>
  </si>
  <si>
    <t xml:space="preserve">We're building the open benchmark for commerce. Builders submit shopping agents. Independent validators run them against problems that change daily. The best agent earns the rewards, and every run becomes training data.</t>
  </si>
  <si>
    <t xml:space="preserve">Vancouver, BC, Canada</t>
  </si>
  <si>
    <t xml:space="preserve">https://www.oroagents.com</t>
  </si>
  <si>
    <t xml:space="preserve">https://www.ycombinator.com/companies/oro-ai</t>
  </si>
  <si>
    <t xml:space="preserve">Papaya</t>
  </si>
  <si>
    <t xml:space="preserve">Continuous optimization for AI agents</t>
  </si>
  <si>
    <t xml:space="preserve">Papaya is the optimization engine for AI agents. Engineers don't have time to continually improve the agents they've shipped — the context bloat, overly chatty subagents, and broken tool calls sit in production traces nobody reads, quietly hurting agent efficiency. With Papaya they connect their agent directly via SDK, get actionable recommendations on how to improve quality, latency, and cost, and the ones they approve are pushed to production as pull requests. Papaya runs 200+ research-backed analyses across context, prompts, prompt caching, subagents, and tool calls. Every recommendation is ranked by impact and comes with the production runs that produced it — typically a 10%+ quality improvement on the first workflow analysis.</t>
  </si>
  <si>
    <t xml:space="preserve">https://papaya.fyi/</t>
  </si>
  <si>
    <t xml:space="preserve">https://www.ycombinator.com/companies/papaya</t>
  </si>
  <si>
    <t xml:space="preserve">Perit.AI</t>
  </si>
  <si>
    <t xml:space="preserve">Expert-led data and RL platform for AI labs</t>
  </si>
  <si>
    <t xml:space="preserve">https://www.perit.ai/</t>
  </si>
  <si>
    <t xml:space="preserve">https://www.ycombinator.com/companies/peritai</t>
  </si>
  <si>
    <t xml:space="preserve">Petrichor Bio</t>
  </si>
  <si>
    <t xml:space="preserve">Wet lab infrastructure that turns AI experiments into training data.</t>
  </si>
  <si>
    <t xml:space="preserve">Real biology requires a wet lab, and building one takes years and a team most AI companies don't have. Petrichor runs their experiments at scale and sends back the dense, clean data their models need to learn from.</t>
  </si>
  <si>
    <t xml:space="preserve">https://petrichorbio.com/</t>
  </si>
  <si>
    <t xml:space="preserve">https://www.ycombinator.com/companies/petrichor-bio</t>
  </si>
  <si>
    <t xml:space="preserve">Ploid</t>
  </si>
  <si>
    <t xml:space="preserve">The people data company for the agent era</t>
  </si>
  <si>
    <t xml:space="preserve">Ploid is the AI-native people data infrastructure for building products, workflows, and agents around people. We’ve built an index of 2B+ people across professional and social sources, with the infrastructure to search, resolve, enrich, and retrieve up-to-date information about anyone on demand. Through Ploid’s API, CLI, and MCP, developers and companies can search for people, enrich profiles, find emails and phone numbers, resolve identities across different data points, and access the broader web context associated with a person. Unlike traditional people databases that rely primarily on static records, Ploid is designed for AI-native workflows. We combine our people index with real-time retrieval and entity resolution so data can be refreshed and expanded at the moment it is requested. Ploid can power everything from sales and recruiting products to customer intelligence, identity resolution, trust and safety, and AI agents that need reliable information about people. Instead of building and maintaining dozens of data integrations yourself, Ploid gives you one infrastructure layer for people data. 2B+ people. One API. Built for AI.</t>
  </si>
  <si>
    <t xml:space="preserve">https://ploid.com</t>
  </si>
  <si>
    <t xml:space="preserve">https://www.ycombinator.com/companies/ploid</t>
  </si>
  <si>
    <t xml:space="preserve">Polemos Industries</t>
  </si>
  <si>
    <t xml:space="preserve">AI-guided ballistic missiles, cheap enough to field in numbers that…</t>
  </si>
  <si>
    <t xml:space="preserve">Precision strike is rationed. Forces see more targets than they can afford to hit. Polemos builds AI-guided ballistic missiles and the compact launchers that fire them, designed for mass manufacturing. Our launchers form a strike network wired into the recon drones already in the sky: a drone geolocates a target, the nearest launcher fires, and a guided round lands in seconds. Short range, no wasted kilometers, no modified trucks. Built on production lines that already exist, so output scales when it matters most.</t>
  </si>
  <si>
    <t xml:space="preserve">https://lokberg.com/</t>
  </si>
  <si>
    <t xml:space="preserve">https://www.ycombinator.com/companies/polemos-industries</t>
  </si>
  <si>
    <t xml:space="preserve">Turn any website into an MCP for your agents, in minutes</t>
  </si>
  <si>
    <t xml:space="preserve">Pomerado turns any website into an API / MCP in minutes. Empower your agents to use previously inaccessable consumer websites, legacy portals, and internal tools. You or your agent describe a task, Pomerado asks a few clarifying questions, and then delivers an integration. We manage hosting, permissioning, testing, and maintenance, so you can focus on building. As consultants at McKinsey and Scale AI, we saw that legacy systems were the true blocker to agentic workflows. Pomerado connects those systems to agents.</t>
  </si>
  <si>
    <t xml:space="preserve">Preload</t>
  </si>
  <si>
    <t xml:space="preserve">Motor cortex for physical AI</t>
  </si>
  <si>
    <t xml:space="preserve">https://www.ycombinator.com/companies/preload</t>
  </si>
  <si>
    <t xml:space="preserve">Primordiant (Formerly SuperRadiant)</t>
  </si>
  <si>
    <t xml:space="preserve">Embodied Scientific Intelligence</t>
  </si>
  <si>
    <t xml:space="preserve">Every instance of intelligence occurring in nature is embodied. Scientific intelligence is no different. We are building general-purpose robotic experimentalists: systems that unite scientific reasoning and physical action to iterate toward discovery by observing, hypothesizing and experimenting.</t>
  </si>
  <si>
    <t xml:space="preserve">https://primordiant.com</t>
  </si>
  <si>
    <t xml:space="preserve">https://www.ycombinator.com/companies/primordiant</t>
  </si>
  <si>
    <t xml:space="preserve">Quippy</t>
  </si>
  <si>
    <t xml:space="preserve">Helps build social skills through daily practice</t>
  </si>
  <si>
    <t xml:space="preserve">Quippy is a daily practice app for your social life. You run short, realistic practice conversations, like pushing back on a boss or talking during a first date, and get line-by-line feedback on what landed and what backfired. The curriculum adapts to each person's patterns, reshaping itself around their weak spots, ensuring steady improvement in the conversations that matter most.</t>
  </si>
  <si>
    <t xml:space="preserve">https://quippyapp.com</t>
  </si>
  <si>
    <t xml:space="preserve">https://www.ycombinator.com/companies/quippy</t>
  </si>
  <si>
    <t xml:space="preserve">Quivly AI</t>
  </si>
  <si>
    <t xml:space="preserve">AI agents that run onboarding, adoption, and renewals</t>
  </si>
  <si>
    <t xml:space="preserve">Quivly is the agentic workspace for everything after the sale. Our agents turn kickoff calls into launch plans, chase blockers, catch risk and expansion signals, and have the full account story ready at renewal. With Quivly, companies are able to take their customers live in 7 days instead of 30, and then grow revenue from these customers by 4.3x on avg.</t>
  </si>
  <si>
    <t xml:space="preserve">https://www.quivly.ai/</t>
  </si>
  <si>
    <t xml:space="preserve">https://www.ycombinator.com/companies/quivly-ai</t>
  </si>
  <si>
    <t xml:space="preserve">RATLOG</t>
  </si>
  <si>
    <t xml:space="preserve">Reusable heavy-lift rockets</t>
  </si>
  <si>
    <t xml:space="preserve">Dresden, SN, Germany</t>
  </si>
  <si>
    <t xml:space="preserve">https://www.ycombinator.com/companies/ratlog</t>
  </si>
  <si>
    <t xml:space="preserve">Reconero helps police officers automate their workflows with AI</t>
  </si>
  <si>
    <t xml:space="preserve">Officers join the force to protect their communities, yet over 40% of their day is eaten by paperwork that keeps them behind a desk. The burden reaches beyond lost time. Burnout is driving officers out of the force, leaving those who remain carrying an even heavier workload. Reconero is built to give that time back. By automating reports, forms, analytics, and more, we help officers finish their administrative paperwork faster, spend more time serving their communities, and protect the time they have with their families.</t>
  </si>
  <si>
    <t xml:space="preserve">Redoubt Insurance</t>
  </si>
  <si>
    <t xml:space="preserve">Commercial insurance for small businesses</t>
  </si>
  <si>
    <t xml:space="preserve">Redoubt is a commercial insurance agency for small businesses. We believe our customers are our most important business partners, and they deserve our full attention. Machines can already handle the boring parts, the next step is to continually learn from experience.</t>
  </si>
  <si>
    <t xml:space="preserve">https://www.redoubt.insure</t>
  </si>
  <si>
    <t xml:space="preserve">https://www.ycombinator.com/companies/redoubt-insurance</t>
  </si>
  <si>
    <t xml:space="preserve">Resin Technologies</t>
  </si>
  <si>
    <t xml:space="preserve">Resin helps engineers design electronics faster and more reliably</t>
  </si>
  <si>
    <t xml:space="preserve">Resin is an AI-native ECAD tool. It lets engineers: - research designs - generate schematics - generate any symbols/footprints - route simple to complex boards</t>
  </si>
  <si>
    <t xml:space="preserve">https://resineda.com/</t>
  </si>
  <si>
    <t xml:space="preserve">https://www.ycombinator.com/companies/resin-technologies</t>
  </si>
  <si>
    <t xml:space="preserve">Home care technology for aging parents and their families</t>
  </si>
  <si>
    <t xml:space="preserve">Rhem is building the connected hardware and data platform for care at home.</t>
  </si>
  <si>
    <t xml:space="preserve">RightNow</t>
  </si>
  <si>
    <t xml:space="preserve">Co-designing the fastest intelligence</t>
  </si>
  <si>
    <t xml:space="preserve">RightNow AI is a research lab for GPU kernel optimization. Our platform RunInfra serves top open-source models optimized for AI agents at a fraction of the cost of closed-source APIs RightNow AI lab: https://rightnowai.co RunInfra platform: https://runinfra.ai.</t>
  </si>
  <si>
    <t xml:space="preserve">https://runinfra.ai/</t>
  </si>
  <si>
    <t xml:space="preserve">https://www.ycombinator.com/companies/rightnow</t>
  </si>
  <si>
    <t xml:space="preserve">River</t>
  </si>
  <si>
    <t xml:space="preserve">The AI desktop.</t>
  </si>
  <si>
    <t xml:space="preserve">AI made software engineers 100x more productive. We're bringing that same transformation to knowledge workers with the AI desktop.</t>
  </si>
  <si>
    <t xml:space="preserve">https://meetriver.com/</t>
  </si>
  <si>
    <t xml:space="preserve">https://www.ycombinator.com/companies/rivereditor</t>
  </si>
  <si>
    <t xml:space="preserve">Rodeo Robotics</t>
  </si>
  <si>
    <t xml:space="preserve">Robots for vehicle maintenance.</t>
  </si>
  <si>
    <t xml:space="preserve">Rodeo builds a robotic technician that automates maintenance so fleets can get vehicles back on the road sooner. Initial deployments focus on oil changes at centralized depots, where routine maintenance competes for scarce technician time. Cofounders Michael Hazard and Colby Duke met at Applied Intuition, where they worked with OEMs like Toyota and General Motors to bring software and autonomy to vehicles. They saw firsthand how much manual work it takes to keep vehicle fleets running, and learned how to make autonomy reliable through structured testing, real-world data, and human intervention. They’re now applying their experience to the roughly $600B annual US vehicle maintenance market. The average US vehicle is older than ever, driving up maintenance demand at a time when shops already struggle to hire and retain technicians. That gap leaves fleets facing costly downtime and preventable breakdowns. Despite this need, vehicle maintenance has resisted traditional automation. Service information is fragmented and unreliable, and vehicle hardware varies significantly between makes and models. Rodeo builds on advances in robotic foundation models to learn maintenance skills that transfer across vehicles. Rodeo pairs robots with human technicians who ensure each job is completed correctly, handling work the robots can’t yet perform autonomously. These deployments generate training data for Rodeo’s models through both teleoperation and hand tools augmented to record how technicians work. This lets Rodeo earn revenue while collecting the data needed to automate more of each job and improve margins.</t>
  </si>
  <si>
    <t xml:space="preserve">https://www.rodeorobotics.com/</t>
  </si>
  <si>
    <t xml:space="preserve">https://www.ycombinator.com/companies/rodeo-robotics</t>
  </si>
  <si>
    <t xml:space="preserve">Roma is the to-do list that does itself</t>
  </si>
  <si>
    <t xml:space="preserve">Roma is the to-do list that does itself. Two of our three founders have been through YC before: Jan built Loom (W12, acquired by Dropbox) and Tobi built Senic (S13, acquired by Gira). Most of the work we do starts and ends with a task. So we're rebuilding something everyone already uses: the to-do list that becomes your everyday assistant, the one place that already knows everything you need done.</t>
  </si>
  <si>
    <t xml:space="preserve">Rystic</t>
  </si>
  <si>
    <t xml:space="preserve">API simulators for testing and training agents locally</t>
  </si>
  <si>
    <t xml:space="preserve">https://rystic.ai</t>
  </si>
  <si>
    <t xml:space="preserve">https://www.ycombinator.com/companies/rystic</t>
  </si>
  <si>
    <t xml:space="preserve">World's Earliest Test for Alzheimer's Biomarkers</t>
  </si>
  <si>
    <t xml:space="preserve">Alzheimer's testing today is bottlenecked around the onset of symptoms, when the damage is already done. Current treatments, including the FDA-approved drugs released in 2024, don't reverse the disease; they only slow it down. Earlier detection means earlier intervention. Eye movement changes linked to Alzheimer's surface sooner than any other biomarker, up to 15 years before symptoms appear. We deliver a 15-minute VR assessment delivered to patients in longevity clinics: • Tasks: patients perform visual tasks designed by neurologists to trigger a distinct oculomotor response in people with Alzheimer's or on its path • Hardware: our patent-pending attachment connects to any VR headset on the market and captures these eye movement patterns. • Analysis: the patterns are compared against our ML model to produce a risk analysis. Once classified, patients can access new interventions, such as the FDA-approved drugs. They're also referred to longevity practices, neurology practices or both, depending on their stage of decline. Testing for the earliest biomarkers allows the earliest possible intervention. In some cases, that slows the disease enough that patients outlive the onset of symptoms and never face memory loss in their lifetime.</t>
  </si>
  <si>
    <t xml:space="preserve">On-device AI that knows your entire life and does your work overnight.</t>
  </si>
  <si>
    <t xml:space="preserve">Nobody's built truly proactive AI, because it requires running inference on your entire life. In the cloud, that's insanely expensive and a privacy nightmare. But not on your own chip. Every night, Sentient's on-device LLM wakes your Mac and understands what's new in your life (email, messages, files, Granola transcripts...), entirely locally, and distills it into a knowledge base. You wake up to your work already prepared: the reply you forgot, drafted from your own context; the subscription you never use renewing tomorrow, caught; the report you promised in the group chat, ready to send. Everything is one click from firing through computer use, and nothing fires until you click. Or click your Mac notch anytime and say "finish this for me." Sidekick takes over the thing you were doing with its own cursor while you move on. On-device inference at this scale was supposed to be impossible: devices too slow, and models too dumb. So we built the stack ourselves: a custom LiteRT-LM fork (KV-cache reuse, speculative decoding, custom k-quants) that runs nightly on 8 GB Macs. The user's hardware does ~90% of the compute, and their own ChatGPT or Claude subscription does the rest, so our marginal cost is ~$0, and our servers store nothing. Our alpha soft-launch was top post of the month on r/macapps (688 upvotes), and we launched to 4000+ users in our first week with $0 marketing. We're free and open source for consumers; the same engine on the work stack (Slack, Granola, Linear, Notion) is the enterprise business. Sentient OS raised ~$1M in pre-seed, backed by YC, Afore, and the a16z Speedrun scout fund.</t>
  </si>
  <si>
    <t xml:space="preserve">Shepherd Robotics</t>
  </si>
  <si>
    <t xml:space="preserve">Robots for high skilled labor powering AI infrastructure</t>
  </si>
  <si>
    <t xml:space="preserve">Shepherd Robotics builds general purpose robots for skilled physical work across AI infrastructure and advanced manufacturing. Our robots are powered by robot foundation models and use modular, flexible hardware designed to adapt to different environments and tasks. We train our systems on a combination of real world and simulation data so they can learn complex manipulation skills and generalize across workflows. We also provide integration into customers’ existing workflows, starting with data center construction and operations, electrical manufacturing and testing, and electronics manufacturing, where traditional automation struggles with variability, dexterity, and changing environments.</t>
  </si>
  <si>
    <t xml:space="preserve">https://shepherdrobotics.ai/</t>
  </si>
  <si>
    <t xml:space="preserve">https://www.ycombinator.com/companies/shepherd-robotics</t>
  </si>
  <si>
    <t xml:space="preserve">Shire uses CCTV to run restaurants in real time.</t>
  </si>
  <si>
    <t xml:space="preserve">Shire is an AI floor manager for full-service restaurants, running on the cameras they already have. It sees what a great manager sees: a guest ready to order, a table waiting on the check, a four-top that needs clearing, a server that is double booked. Then it acts, alerting staff in the moment and seating each new party with the server who has room. A POS only knows what gets typed into it. Shire knows what is happening in the room, so wait-time quotes, staffing, and pricing run on real turn times.</t>
  </si>
  <si>
    <t xml:space="preserve">Consumer -&gt; Food and Beverage</t>
  </si>
  <si>
    <t xml:space="preserve">Sigma</t>
  </si>
  <si>
    <t xml:space="preserve">Lakehouse-as-a-Service (LaaS)</t>
  </si>
  <si>
    <t xml:space="preserve">https://www.ycombinator.com/companies/sigma-2</t>
  </si>
  <si>
    <t xml:space="preserve">Silica</t>
  </si>
  <si>
    <t xml:space="preserve">Actuators for Physical AI</t>
  </si>
  <si>
    <t xml:space="preserve">Silica makes the first affordable actuators that sense forces directly, so that all robots can feel the world around them.</t>
  </si>
  <si>
    <t xml:space="preserve">https://silicamachines.com/</t>
  </si>
  <si>
    <t xml:space="preserve">https://www.ycombinator.com/companies/silica</t>
  </si>
  <si>
    <t xml:space="preserve">Simantic</t>
  </si>
  <si>
    <t xml:space="preserve">Firmware simulation for AI agents</t>
  </si>
  <si>
    <t xml:space="preserve">Simantic is modernizing the embedded firmware industry with hardware simulation developed for the adoption of AI in hardware engineering. Simantic gives both humans and AI the visibility into hardware previously limited by the physical world.</t>
  </si>
  <si>
    <t xml:space="preserve">Waterloo, ON, Canada</t>
  </si>
  <si>
    <t xml:space="preserve">https://simantic.com</t>
  </si>
  <si>
    <t xml:space="preserve">https://www.ycombinator.com/companies/simantic</t>
  </si>
  <si>
    <t xml:space="preserve">Simulithic</t>
  </si>
  <si>
    <t xml:space="preserve">User simulations for production monitoring.</t>
  </si>
  <si>
    <t xml:space="preserve">Simulithic continuously uses your production product like your real users do. We learn representative user journeys and run user simulations across different devices, browsers, account states, and environments to find failures that traditional scripted end-to-end tests miss.</t>
  </si>
  <si>
    <t xml:space="preserve">https://simulithic.com</t>
  </si>
  <si>
    <t xml:space="preserve">https://www.ycombinator.com/companies/simulithic</t>
  </si>
  <si>
    <t xml:space="preserve">Sintem</t>
  </si>
  <si>
    <t xml:space="preserve">Agentic phones for teams</t>
  </si>
  <si>
    <t xml:space="preserve">We make agentic phones for teams. Each phone runs our new agentic operating system with an army of agents that proactively work across the tools your team already uses and take care of the routine work. Your best people get even more done and spend less time on their screens.</t>
  </si>
  <si>
    <t xml:space="preserve">https://sintem.co</t>
  </si>
  <si>
    <t xml:space="preserve">https://www.ycombinator.com/companies/sintem</t>
  </si>
  <si>
    <t xml:space="preserve">Sinter</t>
  </si>
  <si>
    <t xml:space="preserve">Accelerating scaled plastics with additive technologies</t>
  </si>
  <si>
    <t xml:space="preserve">Sinter is a radically faster plastics pipeline, helping iteration heavy hardware teams evolve from prototypes to production parts on week-scale timelines.</t>
  </si>
  <si>
    <t xml:space="preserve">El Segundo, CA, USA</t>
  </si>
  <si>
    <t xml:space="preserve">https://sinter.systems</t>
  </si>
  <si>
    <t xml:space="preserve">https://www.ycombinator.com/companies/sinter-systems</t>
  </si>
  <si>
    <t xml:space="preserve">Sintropix</t>
  </si>
  <si>
    <t xml:space="preserve">Autonomous accounting platform for global companies</t>
  </si>
  <si>
    <t xml:space="preserve">Autonomous accounting platform for global companies. We close your books and give you financial clarity while you run your business.</t>
  </si>
  <si>
    <t xml:space="preserve">Santiago, Santiago Metropolitan Region, Chile</t>
  </si>
  <si>
    <t xml:space="preserve">https://sintropix.com/</t>
  </si>
  <si>
    <t xml:space="preserve">https://www.ycombinator.com/companies/sintropix</t>
  </si>
  <si>
    <t xml:space="preserve">Sona8</t>
  </si>
  <si>
    <t xml:space="preserve">Context layer for enterprise AI surveying employees with voice agents</t>
  </si>
  <si>
    <t xml:space="preserve">Sona8 is a voice agent that talks to every employee about how their work gets done. Consulting, transformation and corporate development teams spend a large part of every project on stakeholder interviews and stakeholder alignment, and still only hear from a small share of the people affected. Each employee gets a link and talks to the agent for about 20 minutes. The agent asks follow-up questions, for example why a step is still done by hand or who else is involved. From the conversations we build process maps and a list of the problems people described, by site and team. During the implementation, the agent goes back to the employees involved after each initiative and asks whether it was implemented and what changed. The result is a project management office that has talked to every employee. Today consulting firms buy it for the stakeholder interviews at the start of an engagement. Transformation and corporate development teams buy it to run the implementation of a change program. Over time this becomes the way a company knows how it runs. Sona8 reads the systems the company already uses, connects them to what employees said, and keeps the picture current by asking again. Before a decision, you ask what it would do across sites and teams and get an answer from the whole company. A small team steers a company-wide program that used to need a large one. And AI agents inside the company come here first to learn how the work is done before they change anything.</t>
  </si>
  <si>
    <t xml:space="preserve">https://sona8.com</t>
  </si>
  <si>
    <t xml:space="preserve">https://www.ycombinator.com/companies/sona8</t>
  </si>
  <si>
    <t xml:space="preserve">We run benefits, payroll &amp; compliance for startups, for free</t>
  </si>
  <si>
    <t xml:space="preserve">Spine runs benefits, payroll, and compliance for startups for free. We do the work by giving teams dedicated senior HR and benefits specialists who operate on top of their existing HRIS (Rippling, Deel, Gusto, ADP). We help companies find better-fit, more cost-effective health plans - reducing healthcare costs by around 15% on average - while running payroll, handling compliance, managing open enrollment, and supporting employees directly in Slack. 30+ startups already use Spine to lower healthcare costs and take hours of back-office work off their teams. Learn more at joinspine.ai or email onur@joinspine.ai</t>
  </si>
  <si>
    <t xml:space="preserve">Stacktrace</t>
  </si>
  <si>
    <t xml:space="preserve">See and control what your agents actually do</t>
  </si>
  <si>
    <t xml:space="preserve">Agents will do most of the work in the future, but only if teams can trust them unsupervised. Stacktrace is the control layer for every agent: it sees every action, detects risky behavior, enforces the bounds your team sets, and steps in when an agent drifts from intent.</t>
  </si>
  <si>
    <t xml:space="preserve">https://stacktrace.ai</t>
  </si>
  <si>
    <t xml:space="preserve">https://www.ycombinator.com/companies/stacktrace</t>
  </si>
  <si>
    <t xml:space="preserve">Precision navigation for UAVs operating without GPS.</t>
  </si>
  <si>
    <t xml:space="preserve">Streamline Systems is building the replacement for GPS. Satellite positioning has become the single point of failure for almost every modern system, both military and civil. We've built the replacement. A drop-in module that integrates with existing Ardupilot, INAV and PX4 flight controllers, with demonstrated satellite-independent autonomous flight and GPS handoff. We're currently working with commercial and military end users to deploy the capability.</t>
  </si>
  <si>
    <t xml:space="preserve">Sutrix</t>
  </si>
  <si>
    <t xml:space="preserve">AI-native statistical analysis for patient outcomes</t>
  </si>
  <si>
    <t xml:space="preserve">Sutrix helps hospital clinical research teams accelerate studies by eliminating manual data preparation. We deploy software into their existing systems, transforming data from EHRs, wearables, and other external sources into validated, study-ready datasets. Our software applies study-specific definitions, reconciles conflicting records, and flags unresolved cases for review, reducing repetitive manual work across research workflows.</t>
  </si>
  <si>
    <t xml:space="preserve">https://www.sutrix.ai/</t>
  </si>
  <si>
    <t xml:space="preserve">https://www.ycombinator.com/companies/sutrix</t>
  </si>
  <si>
    <t xml:space="preserve">Talos</t>
  </si>
  <si>
    <t xml:space="preserve">Predictive maintenance for power infrastructure.</t>
  </si>
  <si>
    <t xml:space="preserve">At Talos, we are building better, more modern predictive maintenance for the power industry with a focus on large transformers. Our devices continuously monitor critical power equipment and detect problems early on using anomaly-detection models. For each fault, we provide detailed analyses of the problem, exactly where and why it happened, as well as next steps teams should take.</t>
  </si>
  <si>
    <t xml:space="preserve">Baltimore, MD, USA</t>
  </si>
  <si>
    <t xml:space="preserve">https://www.talos-us.com/</t>
  </si>
  <si>
    <t xml:space="preserve">https://www.ycombinator.com/companies/talos-us</t>
  </si>
  <si>
    <t xml:space="preserve">Terse</t>
  </si>
  <si>
    <t xml:space="preserve">Durable state for AI agents</t>
  </si>
  <si>
    <t xml:space="preserve">We build infrastructure to power agentic systems such as software factories, multiplayer agent frameworks and agent coordination.</t>
  </si>
  <si>
    <t xml:space="preserve">https://www.useterse.ai/</t>
  </si>
  <si>
    <t xml:space="preserve">https://www.ycombinator.com/companies/useterse</t>
  </si>
  <si>
    <t xml:space="preserve">Training Data For Speech Models.</t>
  </si>
  <si>
    <t xml:space="preserve">We design and collect audio datasets for training speech models.</t>
  </si>
  <si>
    <t xml:space="preserve">The Company Company</t>
  </si>
  <si>
    <t xml:space="preserve">The last agent your company will ever need.</t>
  </si>
  <si>
    <t xml:space="preserve">The Company Company builds the agent and the infrastructure to run companies.</t>
  </si>
  <si>
    <t xml:space="preserve">https://www.thecompany.company</t>
  </si>
  <si>
    <t xml:space="preserve">https://www.ycombinator.com/companies/the-company-company</t>
  </si>
  <si>
    <t xml:space="preserve">Talk to your computer without talking</t>
  </si>
  <si>
    <t xml:space="preserve">We're building a silent speech wearable that lets you talk to your computer at the speed of voice, but silently and completely imperceptibly to everyone around you.</t>
  </si>
  <si>
    <t xml:space="preserve">Humanoids to restock retail shelves &amp; pick orders</t>
  </si>
  <si>
    <t xml:space="preserve">Theseus Robotics creates the OS &amp; Physical AI to deploys humanoids to automate menial tasks in supermarkets. During the day, our robotics pick orders for e-grocery orders. Overnight, they restocks shelves with goods from the back warehouse.</t>
  </si>
  <si>
    <t xml:space="preserve">Super fast, unblockable browser infra for agents</t>
  </si>
  <si>
    <t xml:space="preserve">we build self-healing browser infrastructure that runs millions of agent operations a day without supervision. teams use it for large-scale data collection, agentic workflows, continuous monitoring, and anything else that requires acting on the web at volume.</t>
  </si>
  <si>
    <t xml:space="preserve">Tire Swing</t>
  </si>
  <si>
    <t xml:space="preserve">AI Compliance for Affordable Housing</t>
  </si>
  <si>
    <t xml:space="preserve">Tire Swing uses AI to power resident and applicant eligibility evaluations for affordable housing. Our software manages the resident certification and recertification process end-to-end for public and private properties supported by Project Based Rental Assistance, Low Income Housing Tax Credit, and Housing Vouchers. It serves as a drop-in replacement for third-party consultants and auditors, and helps compliance staff complete their work faster and more accurately.</t>
  </si>
  <si>
    <t xml:space="preserve">https://gettireswing.com</t>
  </si>
  <si>
    <t xml:space="preserve">https://www.ycombinator.com/companies/tire-swing</t>
  </si>
  <si>
    <t xml:space="preserve">TrueMile</t>
  </si>
  <si>
    <t xml:space="preserve">An AI-operated logistics company.</t>
  </si>
  <si>
    <t xml:space="preserve">TrueMile is building a fully autonomous logistics company, starting with trucking. Delayed pickups, empty miles and poor planning eat into a carrier’s profits. Our agents coordinate loads, routes, driver schedules and fuel stops to earn more from each truck and lower the cost of moving goods. We’re starting with our own fleet so we control execution, learn from every delivery and keep the gains. Human drivers come first. As autonomous trucks become available on our routes, we’ll have the customers, freight and infrastructure ready for them. As we drive toward AGI, people will still need groceries, clothes and materials to build their homes. Someone has to move all of it. We want every leap in AI to show up in what people pay for everyday goods.</t>
  </si>
  <si>
    <t xml:space="preserve">https://TrueMile.AI/</t>
  </si>
  <si>
    <t xml:space="preserve">https://www.ycombinator.com/companies/truemile</t>
  </si>
  <si>
    <t xml:space="preserve">twentyfour26</t>
  </si>
  <si>
    <t xml:space="preserve">On Demand CNC Prototyping</t>
  </si>
  <si>
    <t xml:space="preserve">twentyfour26 builds autonomous CNC machining cells for rapid prototyping, so hardware teams can iterate with software speed.</t>
  </si>
  <si>
    <t xml:space="preserve">https://twentyfour26.com/</t>
  </si>
  <si>
    <t xml:space="preserve">https://www.ycombinator.com/companies/twentyfour26</t>
  </si>
  <si>
    <t xml:space="preserve">UFO.ai</t>
  </si>
  <si>
    <t xml:space="preserve">Next-generation agent operating system</t>
  </si>
  <si>
    <t xml:space="preserve">UFO is the operating platform for your business built by the creators of Github Copilot and Perplexity Computer. UFO learns your company, goals, tools, and workflows. UFO builds what your team needs to keep work moving.</t>
  </si>
  <si>
    <t xml:space="preserve">https://ufo.ai</t>
  </si>
  <si>
    <t xml:space="preserve">https://www.ycombinator.com/companies/ufoai</t>
  </si>
  <si>
    <t xml:space="preserve">UXDuck</t>
  </si>
  <si>
    <t xml:space="preserve">Android for drones</t>
  </si>
  <si>
    <t xml:space="preserve">Starting with a modern interface for drones that users can build on and adapt. Works with planes, copters, rovers, boats and submarines.</t>
  </si>
  <si>
    <t xml:space="preserve">https://uxduck.com</t>
  </si>
  <si>
    <t xml:space="preserve">https://www.ycombinator.com/companies/uxduck</t>
  </si>
  <si>
    <t xml:space="preserve">AI tourist visa agent for people with weak passports.</t>
  </si>
  <si>
    <t xml:space="preserve">Billions of people need tourist visas to travel the world. We use AI agents to prepare applications, verify documents, secure appointments, and handle the visa process end to end.</t>
  </si>
  <si>
    <t xml:space="preserve">Consumer -&gt; Travel, Leisure and Tourism</t>
  </si>
  <si>
    <t xml:space="preserve">Veltha</t>
  </si>
  <si>
    <t xml:space="preserve">AI native TPA starting with workers comp</t>
  </si>
  <si>
    <t xml:space="preserve">Veltha is the AI native TPA starting with workers comp. We handle claim for insurance providers end to end. Learn more at https://veltha.ai</t>
  </si>
  <si>
    <t xml:space="preserve">https://veltha.ai/</t>
  </si>
  <si>
    <t xml:space="preserve">https://www.ycombinator.com/companies/veltha</t>
  </si>
  <si>
    <t xml:space="preserve">Vexo</t>
  </si>
  <si>
    <t xml:space="preserve">An AI bracelet that remembers your day and acts before you ask.</t>
  </si>
  <si>
    <t xml:space="preserve">Every AI today waits for a prompt. Vexo already has the context: the restaurant a friend mentioned, the intro you promised, the idea you had on a walk. It turns what it hears into private memories and acts on them, booking the table, sending the follow-up, and ordering the groceries through the apps you already use. It's a woven bracelet with a microphone and health sensors. No screen, and nothing to open. Vexo never keeps your audio. Only you can see your memories, and you can delete them anytime.</t>
  </si>
  <si>
    <t xml:space="preserve">https://www.vexoai.com/</t>
  </si>
  <si>
    <t xml:space="preserve">https://www.ycombinator.com/companies/vexo</t>
  </si>
  <si>
    <t xml:space="preserve">Viraj Aero</t>
  </si>
  <si>
    <t xml:space="preserve">Next generation gas turbines for data centers &amp; aviation</t>
  </si>
  <si>
    <t xml:space="preserve">Viraj Aero builds gas turbines that deliver both power and cooling water for data centers. It needs no grid connection and no water pipeline. Burning natural gas already produces water. Our patented system captures that water from the exhaust. Part of it cools the data center. The rest is turned into steam and injected back into the turbine. That gives up to 40% more power from the same fuel (cheaper compute) and cuts NOx emissions by up to 99%, which cuts permit approvals from years to weeks. We're building a genset around our first-of-its-kind gas turbine. It fits in a 10-foot container and runs anywhere, even in the desert. That matters because two-thirds of new data centers are being built in water-stressed regions. We first built this steam-injected turbine for aircraft, where carrying water tanks isn't an option and efficiency is critical. We're currently integrating our full-scale prototype into an aircraft. The team comes from GE, Rolls-Royce and Formula 1, and we're already working with Safran, one of the world's largest aircraft engine manufacturers.</t>
  </si>
  <si>
    <t xml:space="preserve">https://www.viraj-aero.com/</t>
  </si>
  <si>
    <t xml:space="preserve">https://www.ycombinator.com/companies/viraj-aero</t>
  </si>
  <si>
    <t xml:space="preserve">Volaren Inc.</t>
  </si>
  <si>
    <t xml:space="preserve">Turning Ideas into Trades. Volaren puts the hedge fund in the hands…</t>
  </si>
  <si>
    <t xml:space="preserve">Turning ideas into trades. Every great investment starts as an idea about the world. Institutions have teams of analysts turning those ideas into positions. Volaren is that team, processing data through fundamentals and quantitative models that can be personalized with AI. Turn your views into trades, portfolios, and back-testable frameworks and strategies, and Volaren stays with you from there, showing you what's actually driving each position and what it means for your next move.</t>
  </si>
  <si>
    <t xml:space="preserve">https://www.volaren.ai</t>
  </si>
  <si>
    <t xml:space="preserve">https://www.ycombinator.com/companies/volaren-inc</t>
  </si>
  <si>
    <t xml:space="preserve">Vorelios</t>
  </si>
  <si>
    <t xml:space="preserve">A foundation model for engineering physics</t>
  </si>
  <si>
    <t xml:space="preserve">Engineering is bottlenecked by slow, costly simulations. We're fixing that by building foundation models that learn physics end-to-end and deliver the same results in seconds, at a fraction of the cost.</t>
  </si>
  <si>
    <t xml:space="preserve">https://vorelios.com</t>
  </si>
  <si>
    <t xml:space="preserve">https://www.ycombinator.com/companies/vorelios</t>
  </si>
  <si>
    <t xml:space="preserve">Voyager</t>
  </si>
  <si>
    <t xml:space="preserve">Open harness for video and other creative work.</t>
  </si>
  <si>
    <t xml:space="preserve">Most AI tools are built for coding. Voyager is designed to get the best creative results from models like Opus, Astra and DeepSeek. It comes bundled with free motion graphics, music and video editing tools - or, it can drive Blender, DaVinci Resolve, After Effects, Ableton and 100+ others. From the team behind Moda (moda.app, 100k+ users).</t>
  </si>
  <si>
    <t xml:space="preserve">https://voyager.so</t>
  </si>
  <si>
    <t xml:space="preserve">https://www.ycombinator.com/companies/voyager</t>
  </si>
  <si>
    <t xml:space="preserve">Autonomous video editing for non-editors.</t>
  </si>
  <si>
    <t xml:space="preserve">Instead of making users learn a timeline, we let them upload footage, describe what they want, and get back a polished edit in minutes.</t>
  </si>
  <si>
    <t xml:space="preserve">Workers IO</t>
  </si>
  <si>
    <t xml:space="preserve">Simulation Environments for Verifying Mission Critical Software</t>
  </si>
  <si>
    <t xml:space="preserve">Workers IO verifies your entire system across millions of interleaving, faults, and timings to find the exact conditions that break the software properties you care about. Built for teams where 99.99% uptime is table-stakes.</t>
  </si>
  <si>
    <t xml:space="preserve">https://workers.io</t>
  </si>
  <si>
    <t xml:space="preserve">https://www.ycombinator.com/companies/workers-io</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</si>
</sst>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i val="true"/>
      <sz val="11"/>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drawing" Target="../drawings/drawing20.xml"/>
</Relationships>
</file>

<file path=xl/worksheets/_rels/sheet22.xml.rels><?xml version="1.0" encoding="UTF-8"?>
<Relationships xmlns="http://schemas.openxmlformats.org/package/2006/relationships"><Relationship Id="rId1" Type="http://schemas.openxmlformats.org/officeDocument/2006/relationships/drawing" Target="../drawings/drawing21.xml"/>
</Relationships>
</file>

<file path=xl/worksheets/_rels/sheet23.xml.rels><?xml version="1.0" encoding="UTF-8"?>
<Relationships xmlns="http://schemas.openxmlformats.org/package/2006/relationships"><Relationship Id="rId1" Type="http://schemas.openxmlformats.org/officeDocument/2006/relationships/drawing" Target="../drawings/drawing22.xml"/>
</Relationships>
</file>

<file path=xl/worksheets/_rels/sheet24.xml.rels><?xml version="1.0" encoding="UTF-8"?>
<Relationships xmlns="http://schemas.openxmlformats.org/package/2006/relationships"><Relationship Id="rId1" Type="http://schemas.openxmlformats.org/officeDocument/2006/relationships/drawing" Target="../drawings/drawing23.xml"/>
</Relationships>
</file>

<file path=xl/worksheets/_rels/sheet25.xml.rels><?xml version="1.0" encoding="UTF-8"?>
<Relationships xmlns="http://schemas.openxmlformats.org/package/2006/relationships"><Relationship Id="rId1" Type="http://schemas.openxmlformats.org/officeDocument/2006/relationships/drawing" Target="../drawings/drawing24.xml"/>
</Relationships>
</file>

<file path=xl/worksheets/_rels/sheet26.xml.rels><?xml version="1.0" encoding="UTF-8"?>
<Relationships xmlns="http://schemas.openxmlformats.org/package/2006/relationships"><Relationship Id="rId1" Type="http://schemas.openxmlformats.org/officeDocument/2006/relationships/drawing" Target="../drawings/drawing25.xml"/>
</Relationships>
</file>

<file path=xl/worksheets/_rels/sheet27.xml.rels><?xml version="1.0" encoding="UTF-8"?>
<Relationships xmlns="http://schemas.openxmlformats.org/package/2006/relationships"><Relationship Id="rId1" Type="http://schemas.openxmlformats.org/officeDocument/2006/relationships/drawing" Target="../drawings/drawing26.xml"/>
</Relationships>
</file>

<file path=xl/worksheets/_rels/sheet28.xml.rels><?xml version="1.0" encoding="UTF-8"?>
<Relationships xmlns="http://schemas.openxmlformats.org/package/2006/relationships"><Relationship Id="rId1" Type="http://schemas.openxmlformats.org/officeDocument/2006/relationships/drawing" Target="../drawings/drawing2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1" t="s">
        <v>0</v>
      </c>
      <c r="B1" s="2" t="s">
        <v>1</v>
      </c>
    </row>
    <row r="2" customFormat="false" ht="15" hidden="false" customHeight="false" outlineLevel="0" collapsed="false">
      <c r="A2" s="3"/>
      <c r="B2" s="2"/>
    </row>
    <row r="3" customFormat="false" ht="15" hidden="false" customHeight="false" outlineLevel="0" collapsed="false">
      <c r="A3" s="3" t="s">
        <v>2</v>
      </c>
      <c r="B3" s="2"/>
    </row>
    <row r="4" customFormat="false" ht="15" hidden="false" customHeight="false" outlineLevel="0" collapsed="false">
      <c r="A4" s="3" t="s">
        <v>3</v>
      </c>
      <c r="B4" s="2" t="s">
        <v>4</v>
      </c>
    </row>
    <row r="5" customFormat="false" ht="15" hidden="false" customHeight="false" outlineLevel="0" collapsed="false">
      <c r="A5" s="3" t="s">
        <v>5</v>
      </c>
      <c r="B5" s="2" t="s">
        <v>6</v>
      </c>
    </row>
    <row r="6" customFormat="false" ht="15" hidden="false" customHeight="false" outlineLevel="0" collapsed="false">
      <c r="A6" s="3" t="s">
        <v>7</v>
      </c>
      <c r="B6" s="2" t="s">
        <v>8</v>
      </c>
    </row>
    <row r="7" customFormat="false" ht="15" hidden="false" customHeight="false" outlineLevel="0" collapsed="false">
      <c r="A7" s="3" t="s">
        <v>9</v>
      </c>
      <c r="B7" s="2" t="s">
        <v>10</v>
      </c>
    </row>
    <row r="8" customFormat="false" ht="15" hidden="false" customHeight="false" outlineLevel="0" collapsed="false">
      <c r="A8" s="3" t="s">
        <v>11</v>
      </c>
      <c r="B8" s="2" t="s">
        <v>12</v>
      </c>
    </row>
    <row r="9" customFormat="false" ht="15" hidden="false" customHeight="false" outlineLevel="0" collapsed="false">
      <c r="A9" s="3"/>
      <c r="B9" s="2"/>
    </row>
    <row r="10" customFormat="false" ht="15" hidden="false" customHeight="false" outlineLevel="0" collapsed="false">
      <c r="A10" s="3" t="s">
        <v>13</v>
      </c>
      <c r="B10" s="2"/>
    </row>
    <row r="11" customFormat="false" ht="15" hidden="false" customHeight="false" outlineLevel="0" collapsed="false">
      <c r="A11" s="3" t="s">
        <v>14</v>
      </c>
      <c r="B11" s="2" t="s">
        <v>15</v>
      </c>
    </row>
    <row r="12" customFormat="false" ht="15" hidden="false" customHeight="false" outlineLevel="0" collapsed="false">
      <c r="A12" s="3" t="s">
        <v>16</v>
      </c>
      <c r="B12" s="2" t="s">
        <v>17</v>
      </c>
    </row>
    <row r="13" customFormat="false" ht="26.85" hidden="false" customHeight="false" outlineLevel="0" collapsed="false">
      <c r="A13" s="3" t="s">
        <v>18</v>
      </c>
      <c r="B13" s="2" t="s">
        <v>19</v>
      </c>
    </row>
    <row r="14" customFormat="false" ht="15" hidden="false" customHeight="false" outlineLevel="0" collapsed="false">
      <c r="A14" s="3" t="s">
        <v>20</v>
      </c>
      <c r="B14" s="2" t="s">
        <v>21</v>
      </c>
    </row>
    <row r="15" customFormat="false" ht="15" hidden="false" customHeight="false" outlineLevel="0" collapsed="false">
      <c r="A15" s="3"/>
      <c r="B15" s="2"/>
    </row>
    <row r="16" customFormat="false" ht="15" hidden="false" customHeight="false" outlineLevel="0" collapsed="false">
      <c r="A16" s="3" t="s">
        <v>22</v>
      </c>
      <c r="B16" s="2" t="s">
        <v>23</v>
      </c>
    </row>
    <row r="17" customFormat="false" ht="15" hidden="false" customHeight="false" outlineLevel="0" collapsed="false">
      <c r="A17" s="3" t="s">
        <v>24</v>
      </c>
      <c r="B17" s="2" t="s">
        <v>25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34"/>
    <col collapsed="false" customWidth="true" hidden="false" outlineLevel="0" max="2" min="2" style="0" width="80"/>
    <col collapsed="false" customWidth="true" hidden="false" outlineLevel="0" max="3" min="3" style="0" width="22"/>
    <col collapsed="false" customWidth="true" hidden="false" outlineLevel="0" max="4" min="4" style="0" width="14"/>
    <col collapsed="false" customWidth="true" hidden="false" outlineLevel="0" max="9" min="5" style="0" width="11"/>
    <col collapsed="false" customWidth="true" hidden="false" outlineLevel="0" max="12" min="10" style="0" width="13"/>
  </cols>
  <sheetData>
    <row r="1" customFormat="false" ht="39.55" hidden="false" customHeight="false" outlineLevel="0" collapsed="false">
      <c r="A1" s="4" t="s">
        <v>26</v>
      </c>
      <c r="B1" s="4" t="s">
        <v>27</v>
      </c>
      <c r="C1" s="4" t="s">
        <v>28</v>
      </c>
      <c r="D1" s="4" t="s">
        <v>29</v>
      </c>
      <c r="E1" s="4" t="s">
        <v>30</v>
      </c>
      <c r="F1" s="4" t="s">
        <v>31</v>
      </c>
      <c r="G1" s="4" t="s">
        <v>32</v>
      </c>
      <c r="H1" s="4" t="s">
        <v>33</v>
      </c>
      <c r="I1" s="4" t="s">
        <v>34</v>
      </c>
      <c r="J1" s="4" t="s">
        <v>35</v>
      </c>
      <c r="K1" s="4" t="s">
        <v>36</v>
      </c>
      <c r="L1" s="4" t="s">
        <v>37</v>
      </c>
    </row>
    <row r="2" customFormat="false" ht="39.55" hidden="false" customHeight="false" outlineLevel="0" collapsed="false">
      <c r="A2" s="5" t="s">
        <v>38</v>
      </c>
      <c r="B2" s="2" t="s">
        <v>39</v>
      </c>
      <c r="C2" s="5" t="s">
        <v>40</v>
      </c>
      <c r="D2" s="5" t="n">
        <f aca="false">COUNTA('AI service firms'!$B:$B)-1</f>
        <v>18</v>
      </c>
      <c r="E2" s="5" t="n">
        <f aca="false">COUNTIFS('YC all 900'!$A:$A,$C2,'YC all 900'!$E:$E,"Fall 2025")</f>
        <v>4</v>
      </c>
      <c r="F2" s="5" t="n">
        <f aca="false">COUNTIFS('YC all 900'!$A:$A,$C2,'YC all 900'!$E:$E,"Winter 2026")</f>
        <v>8</v>
      </c>
      <c r="G2" s="5" t="n">
        <f aca="false">COUNTIFS('YC all 900'!$A:$A,$C2,'YC all 900'!$E:$E,"Spring 2026")</f>
        <v>9</v>
      </c>
      <c r="H2" s="5" t="n">
        <f aca="false">COUNTIFS('YC all 900'!$A:$A,$C2,'YC all 900'!$E:$E,"Summer 2026")</f>
        <v>20</v>
      </c>
      <c r="I2" s="5" t="n">
        <f aca="false">COUNTIFS('YC all 900'!$A:$A,$C2,'YC all 900'!$E:$E,"Fall 2026")</f>
        <v>6</v>
      </c>
      <c r="J2" s="5" t="n">
        <f aca="false">SUM(E2:I2)</f>
        <v>47</v>
      </c>
      <c r="K2" s="6" t="n">
        <f aca="false">IF(E$25=0,0,E2/E$25)</f>
        <v>0.0275862068965517</v>
      </c>
      <c r="L2" s="6" t="n">
        <f aca="false">IF(H$25=0,0,H2/H$25)</f>
        <v>0.0869565217391304</v>
      </c>
    </row>
    <row r="3" customFormat="false" ht="26.85" hidden="false" customHeight="false" outlineLevel="0" collapsed="false">
      <c r="A3" s="5" t="s">
        <v>41</v>
      </c>
      <c r="B3" s="2" t="s">
        <v>42</v>
      </c>
      <c r="C3" s="5" t="s">
        <v>43</v>
      </c>
      <c r="D3" s="5" t="n">
        <f aca="false">COUNTA('Old-industry AI'!$B:$B)-1</f>
        <v>21</v>
      </c>
      <c r="E3" s="5" t="n">
        <f aca="false">COUNTIFS('YC all 900'!$A:$A,$C3,'YC all 900'!$E:$E,"Fall 2025")</f>
        <v>10</v>
      </c>
      <c r="F3" s="5" t="n">
        <f aca="false">COUNTIFS('YC all 900'!$A:$A,$C3,'YC all 900'!$E:$E,"Winter 2026")</f>
        <v>13</v>
      </c>
      <c r="G3" s="5" t="n">
        <f aca="false">COUNTIFS('YC all 900'!$A:$A,$C3,'YC all 900'!$E:$E,"Spring 2026")</f>
        <v>11</v>
      </c>
      <c r="H3" s="5" t="n">
        <f aca="false">COUNTIFS('YC all 900'!$A:$A,$C3,'YC all 900'!$E:$E,"Summer 2026")</f>
        <v>13</v>
      </c>
      <c r="I3" s="5" t="n">
        <f aca="false">COUNTIFS('YC all 900'!$A:$A,$C3,'YC all 900'!$E:$E,"Fall 2026")</f>
        <v>3</v>
      </c>
      <c r="J3" s="5" t="n">
        <f aca="false">SUM(E3:I3)</f>
        <v>50</v>
      </c>
      <c r="K3" s="6" t="n">
        <f aca="false">IF(E$25=0,0,E3/E$25)</f>
        <v>0.0689655172413793</v>
      </c>
      <c r="L3" s="6" t="n">
        <f aca="false">IF(H$25=0,0,H3/H$25)</f>
        <v>0.0565217391304348</v>
      </c>
    </row>
    <row r="4" customFormat="false" ht="26.85" hidden="false" customHeight="false" outlineLevel="0" collapsed="false">
      <c r="A4" s="5" t="s">
        <v>44</v>
      </c>
      <c r="B4" s="2" t="s">
        <v>45</v>
      </c>
      <c r="C4" s="5" t="s">
        <v>46</v>
      </c>
      <c r="D4" s="5" t="n">
        <f aca="false">COUNTA('Finance back-office'!$B:$B)-1</f>
        <v>18</v>
      </c>
      <c r="E4" s="5" t="n">
        <f aca="false">COUNTIFS('YC all 900'!$A:$A,$C4,'YC all 900'!$E:$E,"Fall 2025")</f>
        <v>8</v>
      </c>
      <c r="F4" s="5" t="n">
        <f aca="false">COUNTIFS('YC all 900'!$A:$A,$C4,'YC all 900'!$E:$E,"Winter 2026")</f>
        <v>12</v>
      </c>
      <c r="G4" s="5" t="n">
        <f aca="false">COUNTIFS('YC all 900'!$A:$A,$C4,'YC all 900'!$E:$E,"Spring 2026")</f>
        <v>6</v>
      </c>
      <c r="H4" s="5" t="n">
        <f aca="false">COUNTIFS('YC all 900'!$A:$A,$C4,'YC all 900'!$E:$E,"Summer 2026")</f>
        <v>5</v>
      </c>
      <c r="I4" s="5" t="n">
        <f aca="false">COUNTIFS('YC all 900'!$A:$A,$C4,'YC all 900'!$E:$E,"Fall 2026")</f>
        <v>9</v>
      </c>
      <c r="J4" s="5" t="n">
        <f aca="false">SUM(E4:I4)</f>
        <v>40</v>
      </c>
      <c r="K4" s="6" t="n">
        <f aca="false">IF(E$25=0,0,E4/E$25)</f>
        <v>0.0551724137931035</v>
      </c>
      <c r="L4" s="6" t="n">
        <f aca="false">IF(H$25=0,0,H4/H$25)</f>
        <v>0.0217391304347826</v>
      </c>
    </row>
    <row r="5" customFormat="false" ht="26.85" hidden="false" customHeight="false" outlineLevel="0" collapsed="false">
      <c r="A5" s="5" t="s">
        <v>47</v>
      </c>
      <c r="B5" s="2" t="s">
        <v>48</v>
      </c>
      <c r="C5" s="5" t="s">
        <v>47</v>
      </c>
      <c r="D5" s="5" t="n">
        <f aca="false">COUNTA('Healthcare AI'!$B:$B)-1</f>
        <v>26</v>
      </c>
      <c r="E5" s="5" t="n">
        <f aca="false">COUNTIFS('YC all 900'!$A:$A,$C5,'YC all 900'!$E:$E,"Fall 2025")</f>
        <v>8</v>
      </c>
      <c r="F5" s="5" t="n">
        <f aca="false">COUNTIFS('YC all 900'!$A:$A,$C5,'YC all 900'!$E:$E,"Winter 2026")</f>
        <v>11</v>
      </c>
      <c r="G5" s="5" t="n">
        <f aca="false">COUNTIFS('YC all 900'!$A:$A,$C5,'YC all 900'!$E:$E,"Spring 2026")</f>
        <v>10</v>
      </c>
      <c r="H5" s="5" t="n">
        <f aca="false">COUNTIFS('YC all 900'!$A:$A,$C5,'YC all 900'!$E:$E,"Summer 2026")</f>
        <v>8</v>
      </c>
      <c r="I5" s="5" t="n">
        <f aca="false">COUNTIFS('YC all 900'!$A:$A,$C5,'YC all 900'!$E:$E,"Fall 2026")</f>
        <v>6</v>
      </c>
      <c r="J5" s="5" t="n">
        <f aca="false">SUM(E5:I5)</f>
        <v>43</v>
      </c>
      <c r="K5" s="6" t="n">
        <f aca="false">IF(E$25=0,0,E5/E$25)</f>
        <v>0.0551724137931035</v>
      </c>
      <c r="L5" s="6" t="n">
        <f aca="false">IF(H$25=0,0,H5/H$25)</f>
        <v>0.0347826086956522</v>
      </c>
    </row>
    <row r="6" customFormat="false" ht="39.55" hidden="false" customHeight="false" outlineLevel="0" collapsed="false">
      <c r="A6" s="5" t="s">
        <v>49</v>
      </c>
      <c r="B6" s="2" t="s">
        <v>50</v>
      </c>
      <c r="C6" s="5" t="s">
        <v>51</v>
      </c>
      <c r="D6" s="5" t="n">
        <f aca="false">COUNTA('AI workforce'!$B:$B)-1</f>
        <v>20</v>
      </c>
      <c r="E6" s="5" t="n">
        <f aca="false">COUNTIFS('YC all 900'!$A:$A,$C6,'YC all 900'!$E:$E,"Fall 2025")</f>
        <v>12</v>
      </c>
      <c r="F6" s="5" t="n">
        <f aca="false">COUNTIFS('YC all 900'!$A:$A,$C6,'YC all 900'!$E:$E,"Winter 2026")</f>
        <v>9</v>
      </c>
      <c r="G6" s="5" t="n">
        <f aca="false">COUNTIFS('YC all 900'!$A:$A,$C6,'YC all 900'!$E:$E,"Spring 2026")</f>
        <v>17</v>
      </c>
      <c r="H6" s="5" t="n">
        <f aca="false">COUNTIFS('YC all 900'!$A:$A,$C6,'YC all 900'!$E:$E,"Summer 2026")</f>
        <v>14</v>
      </c>
      <c r="I6" s="5" t="n">
        <f aca="false">COUNTIFS('YC all 900'!$A:$A,$C6,'YC all 900'!$E:$E,"Fall 2026")</f>
        <v>5</v>
      </c>
      <c r="J6" s="5" t="n">
        <f aca="false">SUM(E6:I6)</f>
        <v>57</v>
      </c>
      <c r="K6" s="6" t="n">
        <f aca="false">IF(E$25=0,0,E6/E$25)</f>
        <v>0.0827586206896552</v>
      </c>
      <c r="L6" s="6" t="n">
        <f aca="false">IF(H$25=0,0,H6/H$25)</f>
        <v>0.0608695652173913</v>
      </c>
    </row>
    <row r="7" customFormat="false" ht="26.85" hidden="false" customHeight="false" outlineLevel="0" collapsed="false">
      <c r="A7" s="5" t="s">
        <v>52</v>
      </c>
      <c r="B7" s="2" t="s">
        <v>53</v>
      </c>
      <c r="C7" s="5" t="s">
        <v>54</v>
      </c>
      <c r="D7" s="5" t="n">
        <f aca="false">COUNTA('Sales and marketing'!$B:$B)-1</f>
        <v>20</v>
      </c>
      <c r="E7" s="5" t="n">
        <f aca="false">COUNTIFS('YC all 900'!$A:$A,$C7,'YC all 900'!$E:$E,"Fall 2025")</f>
        <v>11</v>
      </c>
      <c r="F7" s="5" t="n">
        <f aca="false">COUNTIFS('YC all 900'!$A:$A,$C7,'YC all 900'!$E:$E,"Winter 2026")</f>
        <v>12</v>
      </c>
      <c r="G7" s="5" t="n">
        <f aca="false">COUNTIFS('YC all 900'!$A:$A,$C7,'YC all 900'!$E:$E,"Spring 2026")</f>
        <v>18</v>
      </c>
      <c r="H7" s="5" t="n">
        <f aca="false">COUNTIFS('YC all 900'!$A:$A,$C7,'YC all 900'!$E:$E,"Summer 2026")</f>
        <v>8</v>
      </c>
      <c r="I7" s="5" t="n">
        <f aca="false">COUNTIFS('YC all 900'!$A:$A,$C7,'YC all 900'!$E:$E,"Fall 2026")</f>
        <v>5</v>
      </c>
      <c r="J7" s="5" t="n">
        <f aca="false">SUM(E7:I7)</f>
        <v>54</v>
      </c>
      <c r="K7" s="6" t="n">
        <f aca="false">IF(E$25=0,0,E7/E$25)</f>
        <v>0.0758620689655172</v>
      </c>
      <c r="L7" s="6" t="n">
        <f aca="false">IF(H$25=0,0,H7/H$25)</f>
        <v>0.0347826086956522</v>
      </c>
    </row>
    <row r="8" customFormat="false" ht="26.85" hidden="false" customHeight="false" outlineLevel="0" collapsed="false">
      <c r="A8" s="5" t="s">
        <v>55</v>
      </c>
      <c r="B8" s="2" t="s">
        <v>56</v>
      </c>
      <c r="C8" s="5" t="s">
        <v>57</v>
      </c>
      <c r="D8" s="5" t="n">
        <f aca="false">COUNTA(Hiring!$B:$B)-1</f>
        <v>8</v>
      </c>
      <c r="E8" s="5" t="n">
        <f aca="false">COUNTIFS('YC all 900'!$A:$A,$C8,'YC all 900'!$E:$E,"Fall 2025")</f>
        <v>1</v>
      </c>
      <c r="F8" s="5" t="n">
        <f aca="false">COUNTIFS('YC all 900'!$A:$A,$C8,'YC all 900'!$E:$E,"Winter 2026")</f>
        <v>2</v>
      </c>
      <c r="G8" s="5" t="n">
        <f aca="false">COUNTIFS('YC all 900'!$A:$A,$C8,'YC all 900'!$E:$E,"Spring 2026")</f>
        <v>5</v>
      </c>
      <c r="H8" s="5" t="n">
        <f aca="false">COUNTIFS('YC all 900'!$A:$A,$C8,'YC all 900'!$E:$E,"Summer 2026")</f>
        <v>2</v>
      </c>
      <c r="I8" s="5" t="n">
        <f aca="false">COUNTIFS('YC all 900'!$A:$A,$C8,'YC all 900'!$E:$E,"Fall 2026")</f>
        <v>1</v>
      </c>
      <c r="J8" s="5" t="n">
        <f aca="false">SUM(E8:I8)</f>
        <v>11</v>
      </c>
      <c r="K8" s="6" t="n">
        <f aca="false">IF(E$25=0,0,E8/E$25)</f>
        <v>0.00689655172413793</v>
      </c>
      <c r="L8" s="6" t="n">
        <f aca="false">IF(H$25=0,0,H8/H$25)</f>
        <v>0.00869565217391304</v>
      </c>
    </row>
    <row r="9" customFormat="false" ht="26.85" hidden="false" customHeight="false" outlineLevel="0" collapsed="false">
      <c r="A9" s="5" t="s">
        <v>58</v>
      </c>
      <c r="B9" s="2" t="s">
        <v>59</v>
      </c>
      <c r="C9" s="5" t="s">
        <v>60</v>
      </c>
      <c r="D9" s="5" t="n">
        <f aca="false">COUNTA('Legal and gov'!$B:$B)-1</f>
        <v>13</v>
      </c>
      <c r="E9" s="5" t="n">
        <f aca="false">COUNTIFS('YC all 900'!$A:$A,$C9,'YC all 900'!$E:$E,"Fall 2025")</f>
        <v>6</v>
      </c>
      <c r="F9" s="5" t="n">
        <f aca="false">COUNTIFS('YC all 900'!$A:$A,$C9,'YC all 900'!$E:$E,"Winter 2026")</f>
        <v>5</v>
      </c>
      <c r="G9" s="5" t="n">
        <f aca="false">COUNTIFS('YC all 900'!$A:$A,$C9,'YC all 900'!$E:$E,"Spring 2026")</f>
        <v>5</v>
      </c>
      <c r="H9" s="5" t="n">
        <f aca="false">COUNTIFS('YC all 900'!$A:$A,$C9,'YC all 900'!$E:$E,"Summer 2026")</f>
        <v>5</v>
      </c>
      <c r="I9" s="5" t="n">
        <f aca="false">COUNTIFS('YC all 900'!$A:$A,$C9,'YC all 900'!$E:$E,"Fall 2026")</f>
        <v>3</v>
      </c>
      <c r="J9" s="5" t="n">
        <f aca="false">SUM(E9:I9)</f>
        <v>24</v>
      </c>
      <c r="K9" s="6" t="n">
        <f aca="false">IF(E$25=0,0,E9/E$25)</f>
        <v>0.0413793103448276</v>
      </c>
      <c r="L9" s="6" t="n">
        <f aca="false">IF(H$25=0,0,H9/H$25)</f>
        <v>0.0217391304347826</v>
      </c>
    </row>
    <row r="10" customFormat="false" ht="26.85" hidden="false" customHeight="false" outlineLevel="0" collapsed="false">
      <c r="A10" s="5" t="s">
        <v>61</v>
      </c>
      <c r="B10" s="2" t="s">
        <v>62</v>
      </c>
      <c r="C10" s="5" t="s">
        <v>63</v>
      </c>
      <c r="D10" s="5" t="n">
        <f aca="false">COUNTA('Agent infrastructure'!$B:$B)-1</f>
        <v>19</v>
      </c>
      <c r="E10" s="5" t="n">
        <f aca="false">COUNTIFS('YC all 900'!$A:$A,$C10,'YC all 900'!$E:$E,"Fall 2025")</f>
        <v>7</v>
      </c>
      <c r="F10" s="5" t="n">
        <f aca="false">COUNTIFS('YC all 900'!$A:$A,$C10,'YC all 900'!$E:$E,"Winter 2026")</f>
        <v>13</v>
      </c>
      <c r="G10" s="5" t="n">
        <f aca="false">COUNTIFS('YC all 900'!$A:$A,$C10,'YC all 900'!$E:$E,"Spring 2026")</f>
        <v>9</v>
      </c>
      <c r="H10" s="5" t="n">
        <f aca="false">COUNTIFS('YC all 900'!$A:$A,$C10,'YC all 900'!$E:$E,"Summer 2026")</f>
        <v>14</v>
      </c>
      <c r="I10" s="5" t="n">
        <f aca="false">COUNTIFS('YC all 900'!$A:$A,$C10,'YC all 900'!$E:$E,"Fall 2026")</f>
        <v>12</v>
      </c>
      <c r="J10" s="5" t="n">
        <f aca="false">SUM(E10:I10)</f>
        <v>55</v>
      </c>
      <c r="K10" s="6" t="n">
        <f aca="false">IF(E$25=0,0,E10/E$25)</f>
        <v>0.0482758620689655</v>
      </c>
      <c r="L10" s="6" t="n">
        <f aca="false">IF(H$25=0,0,H10/H$25)</f>
        <v>0.0608695652173913</v>
      </c>
    </row>
    <row r="11" customFormat="false" ht="26.85" hidden="false" customHeight="false" outlineLevel="0" collapsed="false">
      <c r="A11" s="5" t="s">
        <v>64</v>
      </c>
      <c r="B11" s="2" t="s">
        <v>65</v>
      </c>
      <c r="C11" s="5" t="s">
        <v>66</v>
      </c>
      <c r="D11" s="5" t="n">
        <f aca="false">COUNTA('Agent safety'!$B:$B)-1</f>
        <v>22</v>
      </c>
      <c r="E11" s="5" t="n">
        <f aca="false">COUNTIFS('YC all 900'!$A:$A,$C11,'YC all 900'!$E:$E,"Fall 2025")</f>
        <v>6</v>
      </c>
      <c r="F11" s="5" t="n">
        <f aca="false">COUNTIFS('YC all 900'!$A:$A,$C11,'YC all 900'!$E:$E,"Winter 2026")</f>
        <v>15</v>
      </c>
      <c r="G11" s="5" t="n">
        <f aca="false">COUNTIFS('YC all 900'!$A:$A,$C11,'YC all 900'!$E:$E,"Spring 2026")</f>
        <v>9</v>
      </c>
      <c r="H11" s="5" t="n">
        <f aca="false">COUNTIFS('YC all 900'!$A:$A,$C11,'YC all 900'!$E:$E,"Summer 2026")</f>
        <v>9</v>
      </c>
      <c r="I11" s="5" t="n">
        <f aca="false">COUNTIFS('YC all 900'!$A:$A,$C11,'YC all 900'!$E:$E,"Fall 2026")</f>
        <v>11</v>
      </c>
      <c r="J11" s="5" t="n">
        <f aca="false">SUM(E11:I11)</f>
        <v>50</v>
      </c>
      <c r="K11" s="6" t="n">
        <f aca="false">IF(E$25=0,0,E11/E$25)</f>
        <v>0.0413793103448276</v>
      </c>
      <c r="L11" s="6" t="n">
        <f aca="false">IF(H$25=0,0,H11/H$25)</f>
        <v>0.0391304347826087</v>
      </c>
    </row>
    <row r="12" customFormat="false" ht="26.85" hidden="false" customHeight="false" outlineLevel="0" collapsed="false">
      <c r="A12" s="5" t="s">
        <v>67</v>
      </c>
      <c r="B12" s="2" t="s">
        <v>68</v>
      </c>
      <c r="C12" s="5" t="s">
        <v>69</v>
      </c>
      <c r="D12" s="5" t="n">
        <f aca="false">COUNTA('Coding and dev tools'!$B:$B)-1</f>
        <v>17</v>
      </c>
      <c r="E12" s="5" t="n">
        <f aca="false">COUNTIFS('YC all 900'!$A:$A,$C12,'YC all 900'!$E:$E,"Fall 2025")</f>
        <v>14</v>
      </c>
      <c r="F12" s="5" t="n">
        <f aca="false">COUNTIFS('YC all 900'!$A:$A,$C12,'YC all 900'!$E:$E,"Winter 2026")</f>
        <v>14</v>
      </c>
      <c r="G12" s="5" t="n">
        <f aca="false">COUNTIFS('YC all 900'!$A:$A,$C12,'YC all 900'!$E:$E,"Spring 2026")</f>
        <v>16</v>
      </c>
      <c r="H12" s="5" t="n">
        <f aca="false">COUNTIFS('YC all 900'!$A:$A,$C12,'YC all 900'!$E:$E,"Summer 2026")</f>
        <v>10</v>
      </c>
      <c r="I12" s="5" t="n">
        <f aca="false">COUNTIFS('YC all 900'!$A:$A,$C12,'YC all 900'!$E:$E,"Fall 2026")</f>
        <v>7</v>
      </c>
      <c r="J12" s="5" t="n">
        <f aca="false">SUM(E12:I12)</f>
        <v>61</v>
      </c>
      <c r="K12" s="6" t="n">
        <f aca="false">IF(E$25=0,0,E12/E$25)</f>
        <v>0.096551724137931</v>
      </c>
      <c r="L12" s="6" t="n">
        <f aca="false">IF(H$25=0,0,H12/H$25)</f>
        <v>0.0434782608695652</v>
      </c>
    </row>
    <row r="13" customFormat="false" ht="39.55" hidden="false" customHeight="false" outlineLevel="0" collapsed="false">
      <c r="A13" s="5" t="s">
        <v>70</v>
      </c>
      <c r="B13" s="2" t="s">
        <v>71</v>
      </c>
      <c r="C13" s="5" t="s">
        <v>72</v>
      </c>
      <c r="D13" s="5" t="n">
        <f aca="false">COUNTA('Training data'!$B:$B)-1</f>
        <v>12</v>
      </c>
      <c r="E13" s="5" t="n">
        <f aca="false">COUNTIFS('YC all 900'!$A:$A,$C13,'YC all 900'!$E:$E,"Fall 2025")</f>
        <v>5</v>
      </c>
      <c r="F13" s="5" t="n">
        <f aca="false">COUNTIFS('YC all 900'!$A:$A,$C13,'YC all 900'!$E:$E,"Winter 2026")</f>
        <v>8</v>
      </c>
      <c r="G13" s="5" t="n">
        <f aca="false">COUNTIFS('YC all 900'!$A:$A,$C13,'YC all 900'!$E:$E,"Spring 2026")</f>
        <v>5</v>
      </c>
      <c r="H13" s="5" t="n">
        <f aca="false">COUNTIFS('YC all 900'!$A:$A,$C13,'YC all 900'!$E:$E,"Summer 2026")</f>
        <v>17</v>
      </c>
      <c r="I13" s="5" t="n">
        <f aca="false">COUNTIFS('YC all 900'!$A:$A,$C13,'YC all 900'!$E:$E,"Fall 2026")</f>
        <v>3</v>
      </c>
      <c r="J13" s="5" t="n">
        <f aca="false">SUM(E13:I13)</f>
        <v>38</v>
      </c>
      <c r="K13" s="6" t="n">
        <f aca="false">IF(E$25=0,0,E13/E$25)</f>
        <v>0.0344827586206897</v>
      </c>
      <c r="L13" s="6" t="n">
        <f aca="false">IF(H$25=0,0,H13/H$25)</f>
        <v>0.0739130434782609</v>
      </c>
    </row>
    <row r="14" customFormat="false" ht="26.85" hidden="false" customHeight="false" outlineLevel="0" collapsed="false">
      <c r="A14" s="5" t="s">
        <v>73</v>
      </c>
      <c r="B14" s="2" t="s">
        <v>74</v>
      </c>
      <c r="C14" s="5" t="s">
        <v>75</v>
      </c>
      <c r="D14" s="5" t="n">
        <f aca="false">COUNTA('Models and compute'!$B:$B)-1</f>
        <v>18</v>
      </c>
      <c r="E14" s="5" t="n">
        <f aca="false">COUNTIFS('YC all 900'!$A:$A,$C14,'YC all 900'!$E:$E,"Fall 2025")</f>
        <v>2</v>
      </c>
      <c r="F14" s="5" t="n">
        <f aca="false">COUNTIFS('YC all 900'!$A:$A,$C14,'YC all 900'!$E:$E,"Winter 2026")</f>
        <v>10</v>
      </c>
      <c r="G14" s="5" t="n">
        <f aca="false">COUNTIFS('YC all 900'!$A:$A,$C14,'YC all 900'!$E:$E,"Spring 2026")</f>
        <v>6</v>
      </c>
      <c r="H14" s="5" t="n">
        <f aca="false">COUNTIFS('YC all 900'!$A:$A,$C14,'YC all 900'!$E:$E,"Summer 2026")</f>
        <v>9</v>
      </c>
      <c r="I14" s="5" t="n">
        <f aca="false">COUNTIFS('YC all 900'!$A:$A,$C14,'YC all 900'!$E:$E,"Fall 2026")</f>
        <v>6</v>
      </c>
      <c r="J14" s="5" t="n">
        <f aca="false">SUM(E14:I14)</f>
        <v>33</v>
      </c>
      <c r="K14" s="6" t="n">
        <f aca="false">IF(E$25=0,0,E14/E$25)</f>
        <v>0.0137931034482759</v>
      </c>
      <c r="L14" s="6" t="n">
        <f aca="false">IF(H$25=0,0,H14/H$25)</f>
        <v>0.0391304347826087</v>
      </c>
    </row>
    <row r="15" customFormat="false" ht="26.85" hidden="false" customHeight="false" outlineLevel="0" collapsed="false">
      <c r="A15" s="5" t="s">
        <v>76</v>
      </c>
      <c r="B15" s="2" t="s">
        <v>77</v>
      </c>
      <c r="C15" s="5" t="s">
        <v>76</v>
      </c>
      <c r="D15" s="5" t="n">
        <f aca="false">COUNTA('Voice AI'!$B:$B)-1</f>
        <v>11</v>
      </c>
      <c r="E15" s="5" t="n">
        <f aca="false">COUNTIFS('YC all 900'!$A:$A,$C15,'YC all 900'!$E:$E,"Fall 2025")</f>
        <v>3</v>
      </c>
      <c r="F15" s="5" t="n">
        <f aca="false">COUNTIFS('YC all 900'!$A:$A,$C15,'YC all 900'!$E:$E,"Winter 2026")</f>
        <v>2</v>
      </c>
      <c r="G15" s="5" t="n">
        <f aca="false">COUNTIFS('YC all 900'!$A:$A,$C15,'YC all 900'!$E:$E,"Spring 2026")</f>
        <v>3</v>
      </c>
      <c r="H15" s="5" t="n">
        <f aca="false">COUNTIFS('YC all 900'!$A:$A,$C15,'YC all 900'!$E:$E,"Summer 2026")</f>
        <v>1</v>
      </c>
      <c r="I15" s="5" t="n">
        <f aca="false">COUNTIFS('YC all 900'!$A:$A,$C15,'YC all 900'!$E:$E,"Fall 2026")</f>
        <v>1</v>
      </c>
      <c r="J15" s="5" t="n">
        <f aca="false">SUM(E15:I15)</f>
        <v>10</v>
      </c>
      <c r="K15" s="6" t="n">
        <f aca="false">IF(E$25=0,0,E15/E$25)</f>
        <v>0.0206896551724138</v>
      </c>
      <c r="L15" s="6" t="n">
        <f aca="false">IF(H$25=0,0,H15/H$25)</f>
        <v>0.00434782608695652</v>
      </c>
    </row>
    <row r="16" customFormat="false" ht="26.85" hidden="false" customHeight="false" outlineLevel="0" collapsed="false">
      <c r="A16" s="5" t="s">
        <v>78</v>
      </c>
      <c r="B16" s="2" t="s">
        <v>79</v>
      </c>
      <c r="C16" s="5" t="s">
        <v>80</v>
      </c>
      <c r="D16" s="5" t="n">
        <f aca="false">COUNTA(Robotics!$B:$B)-1</f>
        <v>17</v>
      </c>
      <c r="E16" s="5" t="n">
        <f aca="false">COUNTIFS('YC all 900'!$A:$A,$C16,'YC all 900'!$E:$E,"Fall 2025")</f>
        <v>6</v>
      </c>
      <c r="F16" s="5" t="n">
        <f aca="false">COUNTIFS('YC all 900'!$A:$A,$C16,'YC all 900'!$E:$E,"Winter 2026")</f>
        <v>8</v>
      </c>
      <c r="G16" s="5" t="n">
        <f aca="false">COUNTIFS('YC all 900'!$A:$A,$C16,'YC all 900'!$E:$E,"Spring 2026")</f>
        <v>9</v>
      </c>
      <c r="H16" s="5" t="n">
        <f aca="false">COUNTIFS('YC all 900'!$A:$A,$C16,'YC all 900'!$E:$E,"Summer 2026")</f>
        <v>18</v>
      </c>
      <c r="I16" s="5" t="n">
        <f aca="false">COUNTIFS('YC all 900'!$A:$A,$C16,'YC all 900'!$E:$E,"Fall 2026")</f>
        <v>11</v>
      </c>
      <c r="J16" s="5" t="n">
        <f aca="false">SUM(E16:I16)</f>
        <v>52</v>
      </c>
      <c r="K16" s="6" t="n">
        <f aca="false">IF(E$25=0,0,E16/E$25)</f>
        <v>0.0413793103448276</v>
      </c>
      <c r="L16" s="6" t="n">
        <f aca="false">IF(H$25=0,0,H16/H$25)</f>
        <v>0.0782608695652174</v>
      </c>
    </row>
    <row r="17" customFormat="false" ht="15" hidden="false" customHeight="false" outlineLevel="0" collapsed="false">
      <c r="A17" s="5" t="s">
        <v>81</v>
      </c>
      <c r="B17" s="2" t="s">
        <v>82</v>
      </c>
      <c r="C17" s="5" t="s">
        <v>83</v>
      </c>
      <c r="D17" s="5" t="n">
        <f aca="false">COUNTA('Defense and space'!$B:$B)-1</f>
        <v>15</v>
      </c>
      <c r="E17" s="5" t="n">
        <f aca="false">COUNTIFS('YC all 900'!$A:$A,$C17,'YC all 900'!$E:$E,"Fall 2025")</f>
        <v>5</v>
      </c>
      <c r="F17" s="5" t="n">
        <f aca="false">COUNTIFS('YC all 900'!$A:$A,$C17,'YC all 900'!$E:$E,"Winter 2026")</f>
        <v>9</v>
      </c>
      <c r="G17" s="5" t="n">
        <f aca="false">COUNTIFS('YC all 900'!$A:$A,$C17,'YC all 900'!$E:$E,"Spring 2026")</f>
        <v>7</v>
      </c>
      <c r="H17" s="5" t="n">
        <f aca="false">COUNTIFS('YC all 900'!$A:$A,$C17,'YC all 900'!$E:$E,"Summer 2026")</f>
        <v>11</v>
      </c>
      <c r="I17" s="5" t="n">
        <f aca="false">COUNTIFS('YC all 900'!$A:$A,$C17,'YC all 900'!$E:$E,"Fall 2026")</f>
        <v>9</v>
      </c>
      <c r="J17" s="5" t="n">
        <f aca="false">SUM(E17:I17)</f>
        <v>41</v>
      </c>
      <c r="K17" s="6" t="n">
        <f aca="false">IF(E$25=0,0,E17/E$25)</f>
        <v>0.0344827586206897</v>
      </c>
      <c r="L17" s="6" t="n">
        <f aca="false">IF(H$25=0,0,H17/H$25)</f>
        <v>0.0478260869565217</v>
      </c>
    </row>
    <row r="18" customFormat="false" ht="26.85" hidden="false" customHeight="false" outlineLevel="0" collapsed="false">
      <c r="A18" s="5" t="s">
        <v>84</v>
      </c>
      <c r="B18" s="2" t="s">
        <v>85</v>
      </c>
      <c r="C18" s="5" t="s">
        <v>86</v>
      </c>
      <c r="D18" s="5" t="n">
        <f aca="false">COUNTA('Industrial and hardware'!$B:$B)-1</f>
        <v>28</v>
      </c>
      <c r="E18" s="5" t="n">
        <f aca="false">COUNTIFS('YC all 900'!$A:$A,$C18,'YC all 900'!$E:$E,"Fall 2025")</f>
        <v>3</v>
      </c>
      <c r="F18" s="5" t="n">
        <f aca="false">COUNTIFS('YC all 900'!$A:$A,$C18,'YC all 900'!$E:$E,"Winter 2026")</f>
        <v>10</v>
      </c>
      <c r="G18" s="5" t="n">
        <f aca="false">COUNTIFS('YC all 900'!$A:$A,$C18,'YC all 900'!$E:$E,"Spring 2026")</f>
        <v>11</v>
      </c>
      <c r="H18" s="5" t="n">
        <f aca="false">COUNTIFS('YC all 900'!$A:$A,$C18,'YC all 900'!$E:$E,"Summer 2026")</f>
        <v>30</v>
      </c>
      <c r="I18" s="5" t="n">
        <f aca="false">COUNTIFS('YC all 900'!$A:$A,$C18,'YC all 900'!$E:$E,"Fall 2026")</f>
        <v>15</v>
      </c>
      <c r="J18" s="5" t="n">
        <f aca="false">SUM(E18:I18)</f>
        <v>69</v>
      </c>
      <c r="K18" s="6" t="n">
        <f aca="false">IF(E$25=0,0,E18/E$25)</f>
        <v>0.0206896551724138</v>
      </c>
      <c r="L18" s="6" t="n">
        <f aca="false">IF(H$25=0,0,H18/H$25)</f>
        <v>0.130434782608696</v>
      </c>
    </row>
    <row r="19" customFormat="false" ht="26.85" hidden="false" customHeight="false" outlineLevel="0" collapsed="false">
      <c r="A19" s="5" t="s">
        <v>87</v>
      </c>
      <c r="B19" s="2" t="s">
        <v>88</v>
      </c>
      <c r="C19" s="5" t="s">
        <v>89</v>
      </c>
      <c r="D19" s="5" t="n">
        <f aca="false">COUNTA('Fintech and markets'!$B:$B)-1</f>
        <v>20</v>
      </c>
      <c r="E19" s="5" t="n">
        <f aca="false">COUNTIFS('YC all 900'!$A:$A,$C19,'YC all 900'!$E:$E,"Fall 2025")</f>
        <v>7</v>
      </c>
      <c r="F19" s="5" t="n">
        <f aca="false">COUNTIFS('YC all 900'!$A:$A,$C19,'YC all 900'!$E:$E,"Winter 2026")</f>
        <v>11</v>
      </c>
      <c r="G19" s="5" t="n">
        <f aca="false">COUNTIFS('YC all 900'!$A:$A,$C19,'YC all 900'!$E:$E,"Spring 2026")</f>
        <v>13</v>
      </c>
      <c r="H19" s="5" t="n">
        <f aca="false">COUNTIFS('YC all 900'!$A:$A,$C19,'YC all 900'!$E:$E,"Summer 2026")</f>
        <v>15</v>
      </c>
      <c r="I19" s="5" t="n">
        <f aca="false">COUNTIFS('YC all 900'!$A:$A,$C19,'YC all 900'!$E:$E,"Fall 2026")</f>
        <v>2</v>
      </c>
      <c r="J19" s="5" t="n">
        <f aca="false">SUM(E19:I19)</f>
        <v>48</v>
      </c>
      <c r="K19" s="6" t="n">
        <f aca="false">IF(E$25=0,0,E19/E$25)</f>
        <v>0.0482758620689655</v>
      </c>
      <c r="L19" s="6" t="n">
        <f aca="false">IF(H$25=0,0,H19/H$25)</f>
        <v>0.0652173913043478</v>
      </c>
    </row>
    <row r="20" customFormat="false" ht="26.85" hidden="false" customHeight="false" outlineLevel="0" collapsed="false">
      <c r="A20" s="5" t="s">
        <v>90</v>
      </c>
      <c r="B20" s="2" t="s">
        <v>91</v>
      </c>
      <c r="C20" s="5" t="s">
        <v>92</v>
      </c>
      <c r="D20" s="5" t="n">
        <f aca="false">COUNTA('Bio and science'!$B:$B)-1</f>
        <v>10</v>
      </c>
      <c r="E20" s="5" t="n">
        <f aca="false">COUNTIFS('YC all 900'!$A:$A,$C20,'YC all 900'!$E:$E,"Fall 2025")</f>
        <v>5</v>
      </c>
      <c r="F20" s="5" t="n">
        <f aca="false">COUNTIFS('YC all 900'!$A:$A,$C20,'YC all 900'!$E:$E,"Winter 2026")</f>
        <v>9</v>
      </c>
      <c r="G20" s="5" t="n">
        <f aca="false">COUNTIFS('YC all 900'!$A:$A,$C20,'YC all 900'!$E:$E,"Spring 2026")</f>
        <v>7</v>
      </c>
      <c r="H20" s="5" t="n">
        <f aca="false">COUNTIFS('YC all 900'!$A:$A,$C20,'YC all 900'!$E:$E,"Summer 2026")</f>
        <v>9</v>
      </c>
      <c r="I20" s="5" t="n">
        <f aca="false">COUNTIFS('YC all 900'!$A:$A,$C20,'YC all 900'!$E:$E,"Fall 2026")</f>
        <v>6</v>
      </c>
      <c r="J20" s="5" t="n">
        <f aca="false">SUM(E20:I20)</f>
        <v>36</v>
      </c>
      <c r="K20" s="6" t="n">
        <f aca="false">IF(E$25=0,0,E20/E$25)</f>
        <v>0.0344827586206897</v>
      </c>
      <c r="L20" s="6" t="n">
        <f aca="false">IF(H$25=0,0,H20/H$25)</f>
        <v>0.0391304347826087</v>
      </c>
    </row>
    <row r="21" customFormat="false" ht="26.85" hidden="false" customHeight="false" outlineLevel="0" collapsed="false">
      <c r="A21" s="5" t="s">
        <v>93</v>
      </c>
      <c r="B21" s="2" t="s">
        <v>94</v>
      </c>
      <c r="C21" s="5" t="s">
        <v>95</v>
      </c>
      <c r="D21" s="5" t="n">
        <f aca="false">COUNTA('Consumer apps'!$B:$B)-1</f>
        <v>19</v>
      </c>
      <c r="E21" s="5" t="n">
        <f aca="false">COUNTIFS('YC all 900'!$A:$A,$C21,'YC all 900'!$E:$E,"Fall 2025")</f>
        <v>11</v>
      </c>
      <c r="F21" s="5" t="n">
        <f aca="false">COUNTIFS('YC all 900'!$A:$A,$C21,'YC all 900'!$E:$E,"Winter 2026")</f>
        <v>8</v>
      </c>
      <c r="G21" s="5" t="n">
        <f aca="false">COUNTIFS('YC all 900'!$A:$A,$C21,'YC all 900'!$E:$E,"Spring 2026")</f>
        <v>8</v>
      </c>
      <c r="H21" s="5" t="n">
        <f aca="false">COUNTIFS('YC all 900'!$A:$A,$C21,'YC all 900'!$E:$E,"Summer 2026")</f>
        <v>7</v>
      </c>
      <c r="I21" s="5" t="n">
        <f aca="false">COUNTIFS('YC all 900'!$A:$A,$C21,'YC all 900'!$E:$E,"Fall 2026")</f>
        <v>4</v>
      </c>
      <c r="J21" s="5" t="n">
        <f aca="false">SUM(E21:I21)</f>
        <v>38</v>
      </c>
      <c r="K21" s="6" t="n">
        <f aca="false">IF(E$25=0,0,E21/E$25)</f>
        <v>0.0758620689655172</v>
      </c>
      <c r="L21" s="6" t="n">
        <f aca="false">IF(H$25=0,0,H21/H$25)</f>
        <v>0.0304347826086957</v>
      </c>
    </row>
    <row r="22" customFormat="false" ht="26.85" hidden="false" customHeight="false" outlineLevel="0" collapsed="false">
      <c r="A22" s="5" t="s">
        <v>96</v>
      </c>
      <c r="B22" s="2" t="s">
        <v>97</v>
      </c>
      <c r="C22" s="5" t="s">
        <v>98</v>
      </c>
      <c r="D22" s="5" t="n">
        <f aca="false">COUNTA('Personal AI'!$B:$B)-1</f>
        <v>12</v>
      </c>
      <c r="E22" s="5" t="n">
        <f aca="false">COUNTIFS('YC all 900'!$A:$A,$C22,'YC all 900'!$E:$E,"Fall 2025")</f>
        <v>3</v>
      </c>
      <c r="F22" s="5" t="n">
        <f aca="false">COUNTIFS('YC all 900'!$A:$A,$C22,'YC all 900'!$E:$E,"Winter 2026")</f>
        <v>5</v>
      </c>
      <c r="G22" s="5" t="n">
        <f aca="false">COUNTIFS('YC all 900'!$A:$A,$C22,'YC all 900'!$E:$E,"Spring 2026")</f>
        <v>7</v>
      </c>
      <c r="H22" s="5" t="n">
        <f aca="false">COUNTIFS('YC all 900'!$A:$A,$C22,'YC all 900'!$E:$E,"Summer 2026")</f>
        <v>3</v>
      </c>
      <c r="I22" s="5" t="n">
        <f aca="false">COUNTIFS('YC all 900'!$A:$A,$C22,'YC all 900'!$E:$E,"Fall 2026")</f>
        <v>7</v>
      </c>
      <c r="J22" s="5" t="n">
        <f aca="false">SUM(E22:I22)</f>
        <v>25</v>
      </c>
      <c r="K22" s="6" t="n">
        <f aca="false">IF(E$25=0,0,E22/E$25)</f>
        <v>0.0206896551724138</v>
      </c>
      <c r="L22" s="6" t="n">
        <f aca="false">IF(H$25=0,0,H22/H$25)</f>
        <v>0.0130434782608696</v>
      </c>
    </row>
    <row r="23" customFormat="false" ht="15" hidden="false" customHeight="false" outlineLevel="0" collapsed="false">
      <c r="A23" s="5" t="s">
        <v>99</v>
      </c>
      <c r="B23" s="2" t="s">
        <v>100</v>
      </c>
      <c r="C23" s="5" t="s">
        <v>101</v>
      </c>
      <c r="D23" s="5" t="n">
        <f aca="false">COUNTA('Creative tools'!$B:$B)-1</f>
        <v>10</v>
      </c>
      <c r="E23" s="5" t="n">
        <f aca="false">COUNTIFS('YC all 900'!$A:$A,$C23,'YC all 900'!$E:$E,"Fall 2025")</f>
        <v>7</v>
      </c>
      <c r="F23" s="5" t="n">
        <f aca="false">COUNTIFS('YC all 900'!$A:$A,$C23,'YC all 900'!$E:$E,"Winter 2026")</f>
        <v>3</v>
      </c>
      <c r="G23" s="5" t="n">
        <f aca="false">COUNTIFS('YC all 900'!$A:$A,$C23,'YC all 900'!$E:$E,"Spring 2026")</f>
        <v>1</v>
      </c>
      <c r="H23" s="5" t="n">
        <f aca="false">COUNTIFS('YC all 900'!$A:$A,$C23,'YC all 900'!$E:$E,"Summer 2026")</f>
        <v>2</v>
      </c>
      <c r="I23" s="5" t="n">
        <f aca="false">COUNTIFS('YC all 900'!$A:$A,$C23,'YC all 900'!$E:$E,"Fall 2026")</f>
        <v>2</v>
      </c>
      <c r="J23" s="5" t="n">
        <f aca="false">SUM(E23:I23)</f>
        <v>15</v>
      </c>
      <c r="K23" s="6" t="n">
        <f aca="false">IF(E$25=0,0,E23/E$25)</f>
        <v>0.0482758620689655</v>
      </c>
      <c r="L23" s="6" t="n">
        <f aca="false">IF(H$25=0,0,H23/H$25)</f>
        <v>0.00869565217391304</v>
      </c>
    </row>
    <row r="24" customFormat="false" ht="15" hidden="false" customHeight="false" outlineLevel="0" collapsed="false">
      <c r="A24" s="5" t="s">
        <v>102</v>
      </c>
      <c r="B24" s="2" t="s">
        <v>103</v>
      </c>
      <c r="C24" s="5" t="s">
        <v>104</v>
      </c>
      <c r="D24" s="5" t="n">
        <f aca="false">COUNTA(Other!$B:$B)-1</f>
        <v>0</v>
      </c>
      <c r="E24" s="5" t="n">
        <f aca="false">COUNTIFS('YC all 900'!$A:$A,$C24,'YC all 900'!$E:$E,"Fall 2025")</f>
        <v>1</v>
      </c>
      <c r="F24" s="5" t="n">
        <f aca="false">COUNTIFS('YC all 900'!$A:$A,$C24,'YC all 900'!$E:$E,"Winter 2026")</f>
        <v>1</v>
      </c>
      <c r="G24" s="5" t="n">
        <f aca="false">COUNTIFS('YC all 900'!$A:$A,$C24,'YC all 900'!$E:$E,"Spring 2026")</f>
        <v>1</v>
      </c>
      <c r="H24" s="5" t="n">
        <f aca="false">COUNTIFS('YC all 900'!$A:$A,$C24,'YC all 900'!$E:$E,"Summer 2026")</f>
        <v>0</v>
      </c>
      <c r="I24" s="5" t="n">
        <f aca="false">COUNTIFS('YC all 900'!$A:$A,$C24,'YC all 900'!$E:$E,"Fall 2026")</f>
        <v>0</v>
      </c>
      <c r="J24" s="5" t="n">
        <f aca="false">SUM(E24:I24)</f>
        <v>3</v>
      </c>
      <c r="K24" s="6" t="n">
        <f aca="false">IF(E$25=0,0,E24/E$25)</f>
        <v>0.00689655172413793</v>
      </c>
      <c r="L24" s="6" t="n">
        <f aca="false">IF(H$25=0,0,H24/H$25)</f>
        <v>0</v>
      </c>
    </row>
    <row r="25" customFormat="false" ht="15" hidden="false" customHeight="false" outlineLevel="0" collapsed="false">
      <c r="A25" s="3" t="s">
        <v>105</v>
      </c>
      <c r="D25" s="3" t="n">
        <f aca="false">SUM(D2:D24)</f>
        <v>374</v>
      </c>
      <c r="E25" s="3" t="n">
        <f aca="false">SUM(E2:E24)</f>
        <v>145</v>
      </c>
      <c r="F25" s="3" t="n">
        <f aca="false">SUM(F2:F24)</f>
        <v>198</v>
      </c>
      <c r="G25" s="3" t="n">
        <f aca="false">SUM(G2:G24)</f>
        <v>193</v>
      </c>
      <c r="H25" s="3" t="n">
        <f aca="false">SUM(H2:H24)</f>
        <v>230</v>
      </c>
      <c r="I25" s="3" t="n">
        <f aca="false">SUM(I2:I24)</f>
        <v>134</v>
      </c>
      <c r="J25" s="3" t="n">
        <f aca="false">SUM(J2:J24)</f>
        <v>900</v>
      </c>
    </row>
    <row r="27" customFormat="false" ht="15" hidden="false" customHeight="false" outlineLevel="0" collapsed="false">
      <c r="A27" s="7" t="s">
        <v>106</v>
      </c>
    </row>
  </sheetData>
  <autoFilter ref="A1:L24"/>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22"/>
    <col collapsed="false" customWidth="true" hidden="false" outlineLevel="0" max="4" min="4" style="0" width="40"/>
    <col collapsed="false" customWidth="true" hidden="false" outlineLevel="0" max="5" min="5" style="0" width="26"/>
    <col collapsed="false" customWidth="true" hidden="false" outlineLevel="0" max="6" min="6" style="0" width="40"/>
    <col collapsed="false" customWidth="true" hidden="false" outlineLevel="0" max="7" min="7" style="0" width="44"/>
    <col collapsed="false" customWidth="true" hidden="false" outlineLevel="0" max="8" min="8" style="0" width="40"/>
    <col collapsed="false" customWidth="true" hidden="false" outlineLevel="0" max="9" min="9" style="0" width="34"/>
    <col collapsed="false" customWidth="true" hidden="false" outlineLevel="0" max="10" min="10" style="0" width="40"/>
    <col collapsed="false" customWidth="true" hidden="false" outlineLevel="0" max="11" min="11" style="0" width="50"/>
    <col collapsed="false" customWidth="true" hidden="false" outlineLevel="0" max="12" min="12" style="0" width="40"/>
    <col collapsed="false" customWidth="true" hidden="false" outlineLevel="0" max="13" min="13" style="0" width="12"/>
  </cols>
  <sheetData>
    <row r="1" customFormat="false" ht="15" hidden="false" customHeight="false" outlineLevel="0" collapsed="false">
      <c r="A1" s="4" t="s">
        <v>107</v>
      </c>
      <c r="B1" s="4" t="s">
        <v>108</v>
      </c>
      <c r="C1" s="4" t="s">
        <v>109</v>
      </c>
      <c r="D1" s="4" t="s">
        <v>110</v>
      </c>
      <c r="E1" s="4" t="s">
        <v>111</v>
      </c>
      <c r="F1" s="4" t="s">
        <v>112</v>
      </c>
      <c r="G1" s="4" t="s">
        <v>113</v>
      </c>
      <c r="H1" s="4" t="s">
        <v>114</v>
      </c>
      <c r="I1" s="4" t="s">
        <v>115</v>
      </c>
      <c r="J1" s="4" t="s">
        <v>116</v>
      </c>
      <c r="K1" s="4" t="s">
        <v>117</v>
      </c>
      <c r="L1" s="4" t="s">
        <v>118</v>
      </c>
      <c r="M1" s="4" t="s">
        <v>20</v>
      </c>
    </row>
    <row r="2" customFormat="false" ht="52.2" hidden="false" customHeight="false" outlineLevel="0" collapsed="false">
      <c r="A2" s="5" t="s">
        <v>119</v>
      </c>
      <c r="B2" s="5" t="s">
        <v>120</v>
      </c>
      <c r="C2" s="5" t="s">
        <v>121</v>
      </c>
      <c r="D2" s="2" t="s">
        <v>122</v>
      </c>
      <c r="E2" s="2" t="s">
        <v>123</v>
      </c>
      <c r="F2" s="2" t="s">
        <v>124</v>
      </c>
      <c r="G2" s="2" t="s">
        <v>125</v>
      </c>
      <c r="H2" s="2" t="s">
        <v>126</v>
      </c>
      <c r="I2" s="2" t="s">
        <v>127</v>
      </c>
      <c r="J2" s="2" t="s">
        <v>128</v>
      </c>
      <c r="K2" s="2" t="s">
        <v>129</v>
      </c>
      <c r="L2" s="5" t="s">
        <v>130</v>
      </c>
      <c r="M2" s="5" t="s">
        <v>131</v>
      </c>
    </row>
    <row r="3" customFormat="false" ht="26.85" hidden="false" customHeight="false" outlineLevel="0" collapsed="false">
      <c r="A3" s="5" t="s">
        <v>132</v>
      </c>
      <c r="B3" s="5" t="s">
        <v>120</v>
      </c>
      <c r="C3" s="5" t="s">
        <v>121</v>
      </c>
      <c r="D3" s="2" t="s">
        <v>133</v>
      </c>
      <c r="E3" s="2" t="s">
        <v>134</v>
      </c>
      <c r="F3" s="2" t="s">
        <v>135</v>
      </c>
      <c r="G3" s="2" t="s">
        <v>136</v>
      </c>
      <c r="H3" s="2" t="s">
        <v>137</v>
      </c>
      <c r="I3" s="2" t="s">
        <v>138</v>
      </c>
      <c r="J3" s="2" t="s">
        <v>139</v>
      </c>
      <c r="K3" s="2" t="s">
        <v>140</v>
      </c>
      <c r="L3" s="5" t="s">
        <v>141</v>
      </c>
      <c r="M3" s="5" t="s">
        <v>142</v>
      </c>
    </row>
    <row r="4" customFormat="false" ht="39.55" hidden="false" customHeight="false" outlineLevel="0" collapsed="false">
      <c r="A4" s="5" t="s">
        <v>143</v>
      </c>
      <c r="B4" s="5" t="s">
        <v>144</v>
      </c>
      <c r="C4" s="5" t="s">
        <v>145</v>
      </c>
      <c r="D4" s="2" t="s">
        <v>146</v>
      </c>
      <c r="E4" s="2" t="s">
        <v>134</v>
      </c>
      <c r="F4" s="2" t="s">
        <v>147</v>
      </c>
      <c r="G4" s="2" t="s">
        <v>148</v>
      </c>
      <c r="H4" s="2" t="s">
        <v>149</v>
      </c>
      <c r="I4" s="2" t="s">
        <v>138</v>
      </c>
      <c r="J4" s="2" t="s">
        <v>150</v>
      </c>
      <c r="K4" s="2" t="s">
        <v>151</v>
      </c>
      <c r="L4" s="5" t="s">
        <v>152</v>
      </c>
      <c r="M4" s="5" t="s">
        <v>142</v>
      </c>
    </row>
    <row r="5" customFormat="false" ht="52.2" hidden="false" customHeight="false" outlineLevel="0" collapsed="false">
      <c r="A5" s="5" t="s">
        <v>153</v>
      </c>
      <c r="B5" s="5" t="s">
        <v>154</v>
      </c>
      <c r="C5" s="5" t="s">
        <v>155</v>
      </c>
      <c r="D5" s="2" t="s">
        <v>156</v>
      </c>
      <c r="E5" s="2" t="s">
        <v>157</v>
      </c>
      <c r="F5" s="2" t="s">
        <v>158</v>
      </c>
      <c r="G5" s="2" t="s">
        <v>159</v>
      </c>
      <c r="H5" s="2" t="s">
        <v>160</v>
      </c>
      <c r="I5" s="2" t="s">
        <v>161</v>
      </c>
      <c r="J5" s="2" t="s">
        <v>162</v>
      </c>
      <c r="K5" s="2" t="s">
        <v>163</v>
      </c>
      <c r="L5" s="5" t="s">
        <v>164</v>
      </c>
      <c r="M5" s="5" t="s">
        <v>131</v>
      </c>
    </row>
    <row r="6" customFormat="false" ht="64.9" hidden="false" customHeight="false" outlineLevel="0" collapsed="false">
      <c r="A6" s="5" t="s">
        <v>165</v>
      </c>
      <c r="B6" s="5" t="s">
        <v>166</v>
      </c>
      <c r="C6" s="5" t="s">
        <v>167</v>
      </c>
      <c r="D6" s="2" t="s">
        <v>168</v>
      </c>
      <c r="E6" s="2" t="s">
        <v>169</v>
      </c>
      <c r="F6" s="2" t="s">
        <v>170</v>
      </c>
      <c r="G6" s="2" t="s">
        <v>171</v>
      </c>
      <c r="H6" s="2" t="s">
        <v>172</v>
      </c>
      <c r="I6" s="2" t="s">
        <v>138</v>
      </c>
      <c r="J6" s="2" t="s">
        <v>173</v>
      </c>
      <c r="K6" s="2" t="s">
        <v>174</v>
      </c>
      <c r="L6" s="5" t="s">
        <v>175</v>
      </c>
      <c r="M6" s="5" t="s">
        <v>176</v>
      </c>
    </row>
    <row r="7" customFormat="false" ht="26.85" hidden="false" customHeight="false" outlineLevel="0" collapsed="false">
      <c r="A7" s="5" t="s">
        <v>177</v>
      </c>
      <c r="B7" s="5" t="s">
        <v>178</v>
      </c>
      <c r="C7" s="5" t="s">
        <v>179</v>
      </c>
      <c r="D7" s="2" t="s">
        <v>180</v>
      </c>
      <c r="E7" s="2" t="s">
        <v>181</v>
      </c>
      <c r="F7" s="2" t="s">
        <v>182</v>
      </c>
      <c r="G7" s="2" t="s">
        <v>183</v>
      </c>
      <c r="H7" s="2" t="s">
        <v>184</v>
      </c>
      <c r="I7" s="2" t="s">
        <v>138</v>
      </c>
      <c r="J7" s="2" t="s">
        <v>185</v>
      </c>
      <c r="K7" s="2" t="s">
        <v>186</v>
      </c>
      <c r="L7" s="5" t="s">
        <v>187</v>
      </c>
      <c r="M7" s="5" t="s">
        <v>142</v>
      </c>
    </row>
    <row r="8" customFormat="false" ht="39.55" hidden="false" customHeight="false" outlineLevel="0" collapsed="false">
      <c r="A8" s="5" t="s">
        <v>188</v>
      </c>
      <c r="B8" s="5" t="s">
        <v>189</v>
      </c>
      <c r="C8" s="5" t="s">
        <v>190</v>
      </c>
      <c r="D8" s="2" t="s">
        <v>191</v>
      </c>
      <c r="E8" s="2" t="s">
        <v>192</v>
      </c>
      <c r="F8" s="2" t="s">
        <v>182</v>
      </c>
      <c r="G8" s="2" t="s">
        <v>193</v>
      </c>
      <c r="H8" s="2" t="s">
        <v>194</v>
      </c>
      <c r="I8" s="2" t="s">
        <v>138</v>
      </c>
      <c r="J8" s="2" t="s">
        <v>195</v>
      </c>
      <c r="K8" s="2" t="s">
        <v>196</v>
      </c>
      <c r="L8" s="5" t="s">
        <v>197</v>
      </c>
      <c r="M8" s="5" t="s">
        <v>142</v>
      </c>
    </row>
    <row r="9" customFormat="false" ht="26.85" hidden="false" customHeight="false" outlineLevel="0" collapsed="false">
      <c r="A9" s="5" t="s">
        <v>198</v>
      </c>
      <c r="B9" s="5" t="s">
        <v>199</v>
      </c>
      <c r="C9" s="5" t="s">
        <v>200</v>
      </c>
      <c r="D9" s="2" t="s">
        <v>201</v>
      </c>
      <c r="E9" s="2" t="s">
        <v>202</v>
      </c>
      <c r="F9" s="2" t="s">
        <v>203</v>
      </c>
      <c r="G9" s="2" t="s">
        <v>204</v>
      </c>
      <c r="H9" s="2" t="s">
        <v>205</v>
      </c>
      <c r="I9" s="2" t="s">
        <v>138</v>
      </c>
      <c r="J9" s="2" t="s">
        <v>206</v>
      </c>
      <c r="K9" s="2" t="s">
        <v>207</v>
      </c>
      <c r="L9" s="5" t="s">
        <v>208</v>
      </c>
      <c r="M9" s="5" t="s">
        <v>142</v>
      </c>
    </row>
    <row r="10" customFormat="false" ht="26.85" hidden="false" customHeight="false" outlineLevel="0" collapsed="false">
      <c r="A10" s="5" t="s">
        <v>209</v>
      </c>
      <c r="B10" s="5" t="s">
        <v>210</v>
      </c>
      <c r="C10" s="5" t="s">
        <v>190</v>
      </c>
      <c r="D10" s="2" t="s">
        <v>201</v>
      </c>
      <c r="E10" s="2" t="s">
        <v>211</v>
      </c>
      <c r="F10" s="2" t="s">
        <v>212</v>
      </c>
      <c r="G10" s="2" t="s">
        <v>213</v>
      </c>
      <c r="H10" s="2" t="s">
        <v>214</v>
      </c>
      <c r="I10" s="2" t="s">
        <v>138</v>
      </c>
      <c r="J10" s="2" t="s">
        <v>215</v>
      </c>
      <c r="K10" s="2" t="s">
        <v>216</v>
      </c>
      <c r="L10" s="5" t="s">
        <v>217</v>
      </c>
      <c r="M10" s="5" t="s">
        <v>142</v>
      </c>
    </row>
    <row r="11" customFormat="false" ht="15" hidden="false" customHeight="false" outlineLevel="0" collapsed="false">
      <c r="A11" s="5" t="s">
        <v>218</v>
      </c>
      <c r="B11" s="5" t="s">
        <v>219</v>
      </c>
      <c r="C11" s="5" t="s">
        <v>220</v>
      </c>
      <c r="D11" s="2" t="s">
        <v>201</v>
      </c>
      <c r="E11" s="2" t="s">
        <v>221</v>
      </c>
      <c r="F11" s="2" t="s">
        <v>182</v>
      </c>
      <c r="G11" s="2" t="s">
        <v>222</v>
      </c>
      <c r="H11" s="2" t="s">
        <v>223</v>
      </c>
      <c r="I11" s="2" t="s">
        <v>138</v>
      </c>
      <c r="J11" s="2" t="s">
        <v>224</v>
      </c>
      <c r="K11" s="2" t="s">
        <v>225</v>
      </c>
      <c r="L11" s="5" t="s">
        <v>226</v>
      </c>
      <c r="M11" s="5" t="s">
        <v>142</v>
      </c>
    </row>
    <row r="12" customFormat="false" ht="26.85" hidden="false" customHeight="false" outlineLevel="0" collapsed="false">
      <c r="A12" s="5" t="s">
        <v>227</v>
      </c>
      <c r="B12" s="5" t="s">
        <v>228</v>
      </c>
      <c r="C12" s="5" t="s">
        <v>190</v>
      </c>
      <c r="D12" s="2" t="s">
        <v>201</v>
      </c>
      <c r="E12" s="2" t="s">
        <v>229</v>
      </c>
      <c r="F12" s="2" t="s">
        <v>182</v>
      </c>
      <c r="G12" s="2" t="s">
        <v>230</v>
      </c>
      <c r="H12" s="2" t="s">
        <v>231</v>
      </c>
      <c r="I12" s="2" t="s">
        <v>232</v>
      </c>
      <c r="J12" s="2" t="s">
        <v>233</v>
      </c>
      <c r="K12" s="2" t="s">
        <v>234</v>
      </c>
      <c r="L12" s="5" t="s">
        <v>235</v>
      </c>
      <c r="M12" s="5" t="s">
        <v>142</v>
      </c>
    </row>
    <row r="13" customFormat="false" ht="39.55" hidden="false" customHeight="false" outlineLevel="0" collapsed="false">
      <c r="A13" s="5" t="s">
        <v>236</v>
      </c>
      <c r="B13" s="5" t="s">
        <v>237</v>
      </c>
      <c r="C13" s="5" t="s">
        <v>190</v>
      </c>
      <c r="D13" s="2" t="s">
        <v>201</v>
      </c>
      <c r="E13" s="2" t="s">
        <v>238</v>
      </c>
      <c r="F13" s="2" t="s">
        <v>239</v>
      </c>
      <c r="G13" s="2" t="s">
        <v>240</v>
      </c>
      <c r="H13" s="2" t="s">
        <v>241</v>
      </c>
      <c r="I13" s="2" t="s">
        <v>242</v>
      </c>
      <c r="J13" s="2" t="s">
        <v>243</v>
      </c>
      <c r="K13" s="2" t="s">
        <v>244</v>
      </c>
      <c r="L13" s="5" t="s">
        <v>245</v>
      </c>
      <c r="M13" s="5" t="s">
        <v>142</v>
      </c>
    </row>
    <row r="14" customFormat="false" ht="39.55" hidden="false" customHeight="false" outlineLevel="0" collapsed="false">
      <c r="A14" s="5" t="s">
        <v>246</v>
      </c>
      <c r="B14" s="5" t="s">
        <v>247</v>
      </c>
      <c r="C14" s="5" t="s">
        <v>190</v>
      </c>
      <c r="D14" s="2" t="s">
        <v>201</v>
      </c>
      <c r="E14" s="2" t="s">
        <v>248</v>
      </c>
      <c r="F14" s="2" t="s">
        <v>249</v>
      </c>
      <c r="G14" s="2" t="s">
        <v>250</v>
      </c>
      <c r="H14" s="2" t="s">
        <v>251</v>
      </c>
      <c r="I14" s="2" t="s">
        <v>201</v>
      </c>
      <c r="J14" s="2" t="s">
        <v>252</v>
      </c>
      <c r="K14" s="2" t="s">
        <v>253</v>
      </c>
      <c r="L14" s="5" t="s">
        <v>254</v>
      </c>
      <c r="M14" s="5" t="s">
        <v>142</v>
      </c>
    </row>
    <row r="15" customFormat="false" ht="26.85" hidden="false" customHeight="false" outlineLevel="0" collapsed="false">
      <c r="A15" s="5" t="s">
        <v>255</v>
      </c>
      <c r="B15" s="5" t="s">
        <v>247</v>
      </c>
      <c r="C15" s="5" t="s">
        <v>256</v>
      </c>
      <c r="D15" s="2" t="s">
        <v>201</v>
      </c>
      <c r="E15" s="2" t="s">
        <v>257</v>
      </c>
      <c r="F15" s="2" t="s">
        <v>249</v>
      </c>
      <c r="G15" s="2" t="s">
        <v>258</v>
      </c>
      <c r="H15" s="2" t="s">
        <v>259</v>
      </c>
      <c r="I15" s="2" t="s">
        <v>260</v>
      </c>
      <c r="J15" s="2" t="s">
        <v>261</v>
      </c>
      <c r="K15" s="2" t="s">
        <v>262</v>
      </c>
      <c r="L15" s="5" t="s">
        <v>263</v>
      </c>
      <c r="M15" s="5" t="s">
        <v>142</v>
      </c>
    </row>
    <row r="16" customFormat="false" ht="26.85" hidden="false" customHeight="false" outlineLevel="0" collapsed="false">
      <c r="A16" s="5" t="s">
        <v>264</v>
      </c>
      <c r="B16" s="5" t="s">
        <v>247</v>
      </c>
      <c r="C16" s="5" t="s">
        <v>265</v>
      </c>
      <c r="D16" s="2" t="s">
        <v>266</v>
      </c>
      <c r="E16" s="2" t="s">
        <v>267</v>
      </c>
      <c r="F16" s="2" t="s">
        <v>249</v>
      </c>
      <c r="G16" s="2" t="s">
        <v>268</v>
      </c>
      <c r="H16" s="2" t="s">
        <v>269</v>
      </c>
      <c r="I16" s="2" t="s">
        <v>270</v>
      </c>
      <c r="J16" s="2" t="s">
        <v>271</v>
      </c>
      <c r="K16" s="2" t="s">
        <v>272</v>
      </c>
      <c r="L16" s="5" t="s">
        <v>273</v>
      </c>
      <c r="M16" s="5" t="s">
        <v>142</v>
      </c>
    </row>
    <row r="17" customFormat="false" ht="26.85" hidden="false" customHeight="false" outlineLevel="0" collapsed="false">
      <c r="A17" s="5" t="s">
        <v>274</v>
      </c>
      <c r="B17" s="5" t="s">
        <v>144</v>
      </c>
      <c r="C17" s="5" t="s">
        <v>275</v>
      </c>
      <c r="D17" s="2" t="s">
        <v>276</v>
      </c>
      <c r="E17" s="2" t="s">
        <v>277</v>
      </c>
      <c r="F17" s="2" t="s">
        <v>278</v>
      </c>
      <c r="G17" s="2" t="s">
        <v>279</v>
      </c>
      <c r="H17" s="2" t="s">
        <v>280</v>
      </c>
      <c r="I17" s="2" t="s">
        <v>201</v>
      </c>
      <c r="J17" s="2" t="s">
        <v>215</v>
      </c>
      <c r="K17" s="2" t="s">
        <v>281</v>
      </c>
      <c r="L17" s="5" t="s">
        <v>282</v>
      </c>
      <c r="M17" s="5" t="s">
        <v>176</v>
      </c>
    </row>
    <row r="18" customFormat="false" ht="39.55" hidden="false" customHeight="false" outlineLevel="0" collapsed="false">
      <c r="A18" s="5" t="s">
        <v>283</v>
      </c>
      <c r="B18" s="5" t="s">
        <v>120</v>
      </c>
      <c r="C18" s="5" t="s">
        <v>121</v>
      </c>
      <c r="D18" s="2" t="s">
        <v>138</v>
      </c>
      <c r="E18" s="2" t="s">
        <v>284</v>
      </c>
      <c r="F18" s="2" t="s">
        <v>285</v>
      </c>
      <c r="G18" s="2" t="s">
        <v>286</v>
      </c>
      <c r="H18" s="2" t="s">
        <v>287</v>
      </c>
      <c r="I18" s="2" t="s">
        <v>288</v>
      </c>
      <c r="J18" s="2" t="s">
        <v>289</v>
      </c>
      <c r="K18" s="2" t="s">
        <v>290</v>
      </c>
      <c r="L18" s="5" t="s">
        <v>291</v>
      </c>
      <c r="M18" s="5" t="s">
        <v>176</v>
      </c>
    </row>
    <row r="19" customFormat="false" ht="26.85" hidden="false" customHeight="false" outlineLevel="0" collapsed="false">
      <c r="A19" s="5" t="s">
        <v>292</v>
      </c>
      <c r="B19" s="5" t="s">
        <v>293</v>
      </c>
      <c r="C19" s="5" t="s">
        <v>121</v>
      </c>
      <c r="D19" s="2" t="s">
        <v>138</v>
      </c>
      <c r="E19" s="2" t="s">
        <v>134</v>
      </c>
      <c r="F19" s="2" t="s">
        <v>294</v>
      </c>
      <c r="G19" s="2" t="s">
        <v>295</v>
      </c>
      <c r="H19" s="2" t="s">
        <v>296</v>
      </c>
      <c r="I19" s="2" t="s">
        <v>297</v>
      </c>
      <c r="J19" s="2" t="s">
        <v>298</v>
      </c>
      <c r="K19" s="2" t="s">
        <v>299</v>
      </c>
      <c r="L19" s="5" t="s">
        <v>300</v>
      </c>
      <c r="M19" s="5" t="s">
        <v>176</v>
      </c>
    </row>
    <row r="20" customFormat="false" ht="26.85" hidden="false" customHeight="false" outlineLevel="0" collapsed="false">
      <c r="A20" s="5" t="s">
        <v>301</v>
      </c>
      <c r="B20" s="5" t="s">
        <v>120</v>
      </c>
      <c r="C20" s="5" t="s">
        <v>265</v>
      </c>
      <c r="D20" s="2" t="s">
        <v>138</v>
      </c>
      <c r="E20" s="2" t="s">
        <v>302</v>
      </c>
      <c r="F20" s="2" t="s">
        <v>303</v>
      </c>
      <c r="G20" s="2" t="s">
        <v>304</v>
      </c>
      <c r="H20" s="2" t="s">
        <v>305</v>
      </c>
      <c r="I20" s="2" t="s">
        <v>138</v>
      </c>
      <c r="J20" s="2" t="s">
        <v>243</v>
      </c>
      <c r="K20" s="2" t="s">
        <v>306</v>
      </c>
      <c r="L20" s="5" t="s">
        <v>300</v>
      </c>
      <c r="M20" s="5" t="s">
        <v>176</v>
      </c>
    </row>
    <row r="21" customFormat="false" ht="26.85" hidden="false" customHeight="false" outlineLevel="0" collapsed="false">
      <c r="A21" s="5" t="s">
        <v>307</v>
      </c>
      <c r="B21" s="5" t="s">
        <v>120</v>
      </c>
      <c r="C21" s="5" t="s">
        <v>308</v>
      </c>
      <c r="D21" s="2" t="s">
        <v>309</v>
      </c>
      <c r="E21" s="2" t="s">
        <v>310</v>
      </c>
      <c r="F21" s="2" t="s">
        <v>311</v>
      </c>
      <c r="G21" s="2" t="s">
        <v>312</v>
      </c>
      <c r="H21" s="2" t="s">
        <v>313</v>
      </c>
      <c r="I21" s="2" t="s">
        <v>138</v>
      </c>
      <c r="J21" s="2" t="s">
        <v>314</v>
      </c>
      <c r="K21" s="2" t="s">
        <v>315</v>
      </c>
      <c r="L21" s="5" t="s">
        <v>316</v>
      </c>
      <c r="M21" s="5" t="s">
        <v>142</v>
      </c>
    </row>
    <row r="22" customFormat="false" ht="26.85" hidden="false" customHeight="false" outlineLevel="0" collapsed="false">
      <c r="A22" s="5" t="s">
        <v>317</v>
      </c>
      <c r="B22" s="5" t="s">
        <v>318</v>
      </c>
      <c r="C22" s="5" t="s">
        <v>155</v>
      </c>
      <c r="D22" s="2" t="s">
        <v>201</v>
      </c>
      <c r="E22" s="2" t="s">
        <v>319</v>
      </c>
      <c r="F22" s="2" t="s">
        <v>320</v>
      </c>
      <c r="G22" s="2" t="s">
        <v>321</v>
      </c>
      <c r="H22" s="2" t="s">
        <v>322</v>
      </c>
      <c r="I22" s="2" t="s">
        <v>138</v>
      </c>
      <c r="J22" s="2" t="s">
        <v>323</v>
      </c>
      <c r="K22" s="2" t="s">
        <v>324</v>
      </c>
      <c r="L22" s="5" t="s">
        <v>325</v>
      </c>
      <c r="M22" s="5" t="s">
        <v>142</v>
      </c>
    </row>
    <row r="23" customFormat="false" ht="39.55" hidden="false" customHeight="false" outlineLevel="0" collapsed="false">
      <c r="A23" s="5" t="s">
        <v>326</v>
      </c>
      <c r="B23" s="5" t="s">
        <v>327</v>
      </c>
      <c r="C23" s="5" t="s">
        <v>328</v>
      </c>
      <c r="D23" s="2" t="s">
        <v>201</v>
      </c>
      <c r="E23" s="2" t="s">
        <v>329</v>
      </c>
      <c r="F23" s="2" t="s">
        <v>330</v>
      </c>
      <c r="G23" s="2" t="s">
        <v>331</v>
      </c>
      <c r="H23" s="2" t="s">
        <v>332</v>
      </c>
      <c r="I23" s="2" t="s">
        <v>333</v>
      </c>
      <c r="J23" s="2" t="s">
        <v>243</v>
      </c>
      <c r="K23" s="2" t="s">
        <v>334</v>
      </c>
      <c r="L23" s="5" t="s">
        <v>335</v>
      </c>
      <c r="M23" s="5" t="s">
        <v>176</v>
      </c>
    </row>
  </sheetData>
  <autoFilter ref="A1:M23"/>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342</v>
      </c>
      <c r="B2" s="5" t="s">
        <v>343</v>
      </c>
      <c r="C2" s="5" t="s">
        <v>119</v>
      </c>
      <c r="D2" s="5" t="s">
        <v>32</v>
      </c>
      <c r="E2" s="5" t="s">
        <v>123</v>
      </c>
      <c r="F2" s="2" t="s">
        <v>344</v>
      </c>
      <c r="G2" s="5" t="s">
        <v>345</v>
      </c>
      <c r="H2" s="5" t="s">
        <v>265</v>
      </c>
      <c r="I2" s="5" t="s">
        <v>346</v>
      </c>
      <c r="J2" s="5" t="s">
        <v>347</v>
      </c>
      <c r="K2" s="5" t="s">
        <v>348</v>
      </c>
      <c r="L2" s="5" t="s">
        <v>131</v>
      </c>
    </row>
    <row r="3" customFormat="false" ht="26.85" hidden="false" customHeight="false" outlineLevel="0" collapsed="false">
      <c r="A3" s="2" t="s">
        <v>349</v>
      </c>
      <c r="B3" s="5" t="s">
        <v>350</v>
      </c>
      <c r="C3" s="5" t="s">
        <v>119</v>
      </c>
      <c r="D3" s="5" t="s">
        <v>33</v>
      </c>
      <c r="E3" s="5" t="s">
        <v>123</v>
      </c>
      <c r="F3" s="2" t="s">
        <v>344</v>
      </c>
      <c r="G3" s="5" t="s">
        <v>351</v>
      </c>
      <c r="H3" s="5" t="s">
        <v>104</v>
      </c>
      <c r="I3" s="5" t="s">
        <v>346</v>
      </c>
      <c r="J3" s="5" t="s">
        <v>352</v>
      </c>
      <c r="K3" s="5" t="s">
        <v>353</v>
      </c>
      <c r="L3" s="5" t="s">
        <v>131</v>
      </c>
    </row>
    <row r="4" customFormat="false" ht="26.85" hidden="false" customHeight="false" outlineLevel="0" collapsed="false">
      <c r="A4" s="2" t="s">
        <v>354</v>
      </c>
      <c r="B4" s="5" t="s">
        <v>355</v>
      </c>
      <c r="C4" s="5" t="s">
        <v>119</v>
      </c>
      <c r="D4" s="5" t="s">
        <v>33</v>
      </c>
      <c r="E4" s="5" t="s">
        <v>123</v>
      </c>
      <c r="F4" s="2" t="s">
        <v>344</v>
      </c>
      <c r="G4" s="5" t="s">
        <v>345</v>
      </c>
      <c r="H4" s="5" t="s">
        <v>265</v>
      </c>
      <c r="I4" s="5" t="s">
        <v>346</v>
      </c>
      <c r="J4" s="5" t="s">
        <v>356</v>
      </c>
      <c r="K4" s="5" t="s">
        <v>357</v>
      </c>
      <c r="L4" s="5" t="s">
        <v>131</v>
      </c>
    </row>
    <row r="5" customFormat="false" ht="26.85" hidden="false" customHeight="false" outlineLevel="0" collapsed="false">
      <c r="A5" s="2" t="s">
        <v>358</v>
      </c>
      <c r="B5" s="5" t="s">
        <v>359</v>
      </c>
      <c r="C5" s="5" t="s">
        <v>119</v>
      </c>
      <c r="D5" s="5" t="s">
        <v>30</v>
      </c>
      <c r="E5" s="5" t="s">
        <v>123</v>
      </c>
      <c r="F5" s="2" t="s">
        <v>344</v>
      </c>
      <c r="G5" s="5" t="s">
        <v>345</v>
      </c>
      <c r="H5" s="5" t="s">
        <v>265</v>
      </c>
      <c r="I5" s="5" t="s">
        <v>346</v>
      </c>
      <c r="J5" s="5" t="s">
        <v>360</v>
      </c>
      <c r="K5" s="5" t="s">
        <v>361</v>
      </c>
      <c r="L5" s="5" t="s">
        <v>131</v>
      </c>
    </row>
    <row r="6" customFormat="false" ht="26.85" hidden="false" customHeight="false" outlineLevel="0" collapsed="false">
      <c r="A6" s="2" t="s">
        <v>362</v>
      </c>
      <c r="B6" s="5" t="s">
        <v>363</v>
      </c>
      <c r="C6" s="5" t="s">
        <v>119</v>
      </c>
      <c r="D6" s="5" t="s">
        <v>30</v>
      </c>
      <c r="E6" s="5" t="s">
        <v>123</v>
      </c>
      <c r="F6" s="2" t="s">
        <v>344</v>
      </c>
      <c r="G6" s="5" t="s">
        <v>345</v>
      </c>
      <c r="H6" s="5" t="s">
        <v>265</v>
      </c>
      <c r="I6" s="5" t="s">
        <v>346</v>
      </c>
      <c r="J6" s="5" t="s">
        <v>364</v>
      </c>
      <c r="K6" s="5" t="s">
        <v>365</v>
      </c>
      <c r="L6" s="5" t="s">
        <v>131</v>
      </c>
    </row>
    <row r="7" customFormat="false" ht="26.85" hidden="false" customHeight="false" outlineLevel="0" collapsed="false">
      <c r="A7" s="2" t="s">
        <v>366</v>
      </c>
      <c r="B7" s="5" t="s">
        <v>367</v>
      </c>
      <c r="C7" s="5" t="s">
        <v>119</v>
      </c>
      <c r="D7" s="5" t="s">
        <v>33</v>
      </c>
      <c r="E7" s="5" t="s">
        <v>123</v>
      </c>
      <c r="F7" s="2" t="s">
        <v>344</v>
      </c>
      <c r="G7" s="5" t="s">
        <v>345</v>
      </c>
      <c r="H7" s="5" t="s">
        <v>265</v>
      </c>
      <c r="I7" s="5" t="s">
        <v>368</v>
      </c>
      <c r="J7" s="5" t="s">
        <v>369</v>
      </c>
      <c r="K7" s="5" t="s">
        <v>370</v>
      </c>
      <c r="L7" s="5" t="s">
        <v>131</v>
      </c>
    </row>
    <row r="8" customFormat="false" ht="26.85" hidden="false" customHeight="false" outlineLevel="0" collapsed="false">
      <c r="A8" s="2" t="s">
        <v>371</v>
      </c>
      <c r="B8" s="5" t="s">
        <v>372</v>
      </c>
      <c r="C8" s="5" t="s">
        <v>119</v>
      </c>
      <c r="D8" s="5" t="s">
        <v>31</v>
      </c>
      <c r="E8" s="5" t="s">
        <v>123</v>
      </c>
      <c r="F8" s="2" t="s">
        <v>344</v>
      </c>
      <c r="G8" s="5" t="s">
        <v>373</v>
      </c>
      <c r="H8" s="5" t="s">
        <v>104</v>
      </c>
      <c r="I8" s="5" t="s">
        <v>346</v>
      </c>
      <c r="J8" s="5" t="s">
        <v>374</v>
      </c>
      <c r="K8" s="5" t="s">
        <v>375</v>
      </c>
      <c r="L8" s="5" t="s">
        <v>131</v>
      </c>
    </row>
    <row r="9" customFormat="false" ht="26.85" hidden="false" customHeight="false" outlineLevel="0" collapsed="false">
      <c r="A9" s="2" t="s">
        <v>376</v>
      </c>
      <c r="B9" s="5" t="s">
        <v>377</v>
      </c>
      <c r="C9" s="5" t="s">
        <v>119</v>
      </c>
      <c r="D9" s="5" t="s">
        <v>32</v>
      </c>
      <c r="E9" s="5" t="s">
        <v>123</v>
      </c>
      <c r="F9" s="2" t="s">
        <v>344</v>
      </c>
      <c r="G9" s="5" t="s">
        <v>345</v>
      </c>
      <c r="H9" s="5" t="s">
        <v>265</v>
      </c>
      <c r="I9" s="5" t="s">
        <v>346</v>
      </c>
      <c r="J9" s="5" t="s">
        <v>378</v>
      </c>
      <c r="K9" s="5" t="s">
        <v>379</v>
      </c>
      <c r="L9" s="5" t="s">
        <v>131</v>
      </c>
    </row>
    <row r="10" customFormat="false" ht="26.85" hidden="false" customHeight="false" outlineLevel="0" collapsed="false">
      <c r="A10" s="2" t="s">
        <v>380</v>
      </c>
      <c r="B10" s="5" t="s">
        <v>381</v>
      </c>
      <c r="C10" s="5" t="s">
        <v>119</v>
      </c>
      <c r="D10" s="5" t="s">
        <v>31</v>
      </c>
      <c r="E10" s="5" t="s">
        <v>123</v>
      </c>
      <c r="F10" s="2" t="s">
        <v>344</v>
      </c>
      <c r="G10" s="5" t="s">
        <v>382</v>
      </c>
      <c r="H10" s="5" t="s">
        <v>265</v>
      </c>
      <c r="I10" s="5" t="s">
        <v>346</v>
      </c>
      <c r="J10" s="5" t="s">
        <v>383</v>
      </c>
      <c r="K10" s="5" t="s">
        <v>384</v>
      </c>
      <c r="L10" s="5" t="s">
        <v>131</v>
      </c>
    </row>
    <row r="11" customFormat="false" ht="26.85" hidden="false" customHeight="false" outlineLevel="0" collapsed="false">
      <c r="A11" s="2" t="s">
        <v>385</v>
      </c>
      <c r="B11" s="5" t="s">
        <v>386</v>
      </c>
      <c r="C11" s="5" t="s">
        <v>119</v>
      </c>
      <c r="D11" s="5" t="s">
        <v>33</v>
      </c>
      <c r="E11" s="5" t="s">
        <v>123</v>
      </c>
      <c r="F11" s="2" t="s">
        <v>344</v>
      </c>
      <c r="G11" s="5" t="s">
        <v>345</v>
      </c>
      <c r="H11" s="5" t="s">
        <v>265</v>
      </c>
      <c r="I11" s="5" t="s">
        <v>346</v>
      </c>
      <c r="J11" s="5" t="s">
        <v>387</v>
      </c>
      <c r="K11" s="5" t="s">
        <v>388</v>
      </c>
      <c r="L11" s="5" t="s">
        <v>131</v>
      </c>
    </row>
    <row r="12" customFormat="false" ht="26.85" hidden="false" customHeight="false" outlineLevel="0" collapsed="false">
      <c r="A12" s="2" t="s">
        <v>389</v>
      </c>
      <c r="B12" s="5" t="s">
        <v>390</v>
      </c>
      <c r="C12" s="5" t="s">
        <v>119</v>
      </c>
      <c r="D12" s="5" t="s">
        <v>33</v>
      </c>
      <c r="E12" s="5" t="s">
        <v>123</v>
      </c>
      <c r="F12" s="2" t="s">
        <v>344</v>
      </c>
      <c r="G12" s="5" t="s">
        <v>345</v>
      </c>
      <c r="H12" s="5" t="s">
        <v>265</v>
      </c>
      <c r="I12" s="5" t="s">
        <v>346</v>
      </c>
      <c r="J12" s="5" t="s">
        <v>391</v>
      </c>
      <c r="K12" s="5" t="s">
        <v>392</v>
      </c>
      <c r="L12" s="5" t="s">
        <v>131</v>
      </c>
    </row>
    <row r="13" customFormat="false" ht="26.85" hidden="false" customHeight="false" outlineLevel="0" collapsed="false">
      <c r="A13" s="2" t="s">
        <v>393</v>
      </c>
      <c r="B13" s="5" t="s">
        <v>394</v>
      </c>
      <c r="C13" s="5" t="s">
        <v>119</v>
      </c>
      <c r="D13" s="5" t="s">
        <v>33</v>
      </c>
      <c r="E13" s="5" t="s">
        <v>123</v>
      </c>
      <c r="F13" s="2" t="s">
        <v>344</v>
      </c>
      <c r="G13" s="5" t="s">
        <v>345</v>
      </c>
      <c r="H13" s="5" t="s">
        <v>265</v>
      </c>
      <c r="I13" s="5" t="s">
        <v>346</v>
      </c>
      <c r="J13" s="5" t="s">
        <v>395</v>
      </c>
      <c r="K13" s="5" t="s">
        <v>396</v>
      </c>
      <c r="L13" s="5" t="s">
        <v>131</v>
      </c>
    </row>
    <row r="14" customFormat="false" ht="26.85" hidden="false" customHeight="false" outlineLevel="0" collapsed="false">
      <c r="A14" s="2" t="s">
        <v>397</v>
      </c>
      <c r="B14" s="5" t="s">
        <v>398</v>
      </c>
      <c r="C14" s="5" t="s">
        <v>119</v>
      </c>
      <c r="D14" s="5" t="s">
        <v>34</v>
      </c>
      <c r="E14" s="5" t="s">
        <v>123</v>
      </c>
      <c r="F14" s="2" t="s">
        <v>344</v>
      </c>
      <c r="G14" s="5" t="s">
        <v>345</v>
      </c>
      <c r="H14" s="5" t="s">
        <v>265</v>
      </c>
      <c r="I14" s="5" t="s">
        <v>346</v>
      </c>
      <c r="J14" s="5" t="s">
        <v>399</v>
      </c>
      <c r="K14" s="5" t="s">
        <v>400</v>
      </c>
      <c r="L14" s="5" t="s">
        <v>131</v>
      </c>
    </row>
    <row r="15" customFormat="false" ht="26.85" hidden="false" customHeight="false" outlineLevel="0" collapsed="false">
      <c r="A15" s="2" t="s">
        <v>401</v>
      </c>
      <c r="B15" s="5" t="s">
        <v>402</v>
      </c>
      <c r="C15" s="5" t="s">
        <v>119</v>
      </c>
      <c r="D15" s="5" t="s">
        <v>33</v>
      </c>
      <c r="E15" s="5" t="s">
        <v>123</v>
      </c>
      <c r="F15" s="2" t="s">
        <v>344</v>
      </c>
      <c r="G15" s="5" t="s">
        <v>345</v>
      </c>
      <c r="H15" s="5" t="s">
        <v>265</v>
      </c>
      <c r="I15" s="5" t="s">
        <v>346</v>
      </c>
      <c r="J15" s="5" t="s">
        <v>403</v>
      </c>
      <c r="K15" s="5" t="s">
        <v>404</v>
      </c>
      <c r="L15" s="5" t="s">
        <v>131</v>
      </c>
    </row>
    <row r="16" customFormat="false" ht="26.85" hidden="false" customHeight="false" outlineLevel="0" collapsed="false">
      <c r="A16" s="2" t="s">
        <v>405</v>
      </c>
      <c r="B16" s="5" t="s">
        <v>406</v>
      </c>
      <c r="C16" s="5" t="s">
        <v>119</v>
      </c>
      <c r="D16" s="5" t="s">
        <v>33</v>
      </c>
      <c r="E16" s="5" t="s">
        <v>123</v>
      </c>
      <c r="F16" s="2" t="s">
        <v>344</v>
      </c>
      <c r="G16" s="5" t="s">
        <v>345</v>
      </c>
      <c r="H16" s="5" t="s">
        <v>265</v>
      </c>
      <c r="I16" s="5" t="s">
        <v>368</v>
      </c>
      <c r="J16" s="5" t="s">
        <v>407</v>
      </c>
      <c r="K16" s="5" t="s">
        <v>408</v>
      </c>
      <c r="L16" s="5" t="s">
        <v>131</v>
      </c>
    </row>
    <row r="17" customFormat="false" ht="26.85" hidden="false" customHeight="false" outlineLevel="0" collapsed="false">
      <c r="A17" s="2" t="s">
        <v>409</v>
      </c>
      <c r="B17" s="5" t="s">
        <v>410</v>
      </c>
      <c r="C17" s="5" t="s">
        <v>411</v>
      </c>
      <c r="D17" s="5" t="s">
        <v>412</v>
      </c>
      <c r="E17" s="5" t="s">
        <v>413</v>
      </c>
      <c r="F17" s="2" t="s">
        <v>414</v>
      </c>
      <c r="G17" s="5" t="s">
        <v>265</v>
      </c>
      <c r="H17" s="5" t="s">
        <v>265</v>
      </c>
      <c r="I17" s="5" t="s">
        <v>346</v>
      </c>
      <c r="J17" s="5"/>
      <c r="K17" s="5" t="s">
        <v>415</v>
      </c>
      <c r="L17" s="5" t="s">
        <v>176</v>
      </c>
    </row>
    <row r="18" customFormat="false" ht="39.55" hidden="false" customHeight="false" outlineLevel="0" collapsed="false">
      <c r="A18" s="2" t="s">
        <v>416</v>
      </c>
      <c r="B18" s="5" t="s">
        <v>417</v>
      </c>
      <c r="C18" s="5" t="s">
        <v>177</v>
      </c>
      <c r="D18" s="5" t="s">
        <v>418</v>
      </c>
      <c r="E18" s="5" t="s">
        <v>419</v>
      </c>
      <c r="F18" s="2" t="s">
        <v>420</v>
      </c>
      <c r="G18" s="5" t="s">
        <v>421</v>
      </c>
      <c r="H18" s="5" t="s">
        <v>104</v>
      </c>
      <c r="I18" s="5" t="s">
        <v>346</v>
      </c>
      <c r="J18" s="5"/>
      <c r="K18" s="5" t="s">
        <v>187</v>
      </c>
      <c r="L18" s="5" t="s">
        <v>142</v>
      </c>
    </row>
    <row r="19" customFormat="false" ht="26.85" hidden="false" customHeight="false" outlineLevel="0" collapsed="false">
      <c r="A19" s="2" t="s">
        <v>422</v>
      </c>
      <c r="B19" s="5" t="s">
        <v>423</v>
      </c>
      <c r="C19" s="5" t="s">
        <v>132</v>
      </c>
      <c r="D19" s="5" t="s">
        <v>424</v>
      </c>
      <c r="E19" s="5" t="s">
        <v>425</v>
      </c>
      <c r="F19" s="2" t="s">
        <v>426</v>
      </c>
      <c r="G19" s="5" t="s">
        <v>427</v>
      </c>
      <c r="H19" s="5" t="s">
        <v>428</v>
      </c>
      <c r="I19" s="5" t="s">
        <v>346</v>
      </c>
      <c r="J19" s="5"/>
      <c r="K19" s="5" t="s">
        <v>429</v>
      </c>
      <c r="L19" s="5" t="s">
        <v>142</v>
      </c>
    </row>
  </sheetData>
  <autoFilter ref="A1:L1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430</v>
      </c>
      <c r="B2" s="5" t="s">
        <v>431</v>
      </c>
      <c r="C2" s="5" t="s">
        <v>119</v>
      </c>
      <c r="D2" s="5" t="s">
        <v>34</v>
      </c>
      <c r="E2" s="5" t="s">
        <v>123</v>
      </c>
      <c r="F2" s="2" t="s">
        <v>344</v>
      </c>
      <c r="G2" s="5" t="s">
        <v>345</v>
      </c>
      <c r="H2" s="5" t="s">
        <v>265</v>
      </c>
      <c r="I2" s="5" t="s">
        <v>346</v>
      </c>
      <c r="J2" s="5" t="s">
        <v>432</v>
      </c>
      <c r="K2" s="5" t="s">
        <v>433</v>
      </c>
      <c r="L2" s="5" t="s">
        <v>131</v>
      </c>
    </row>
    <row r="3" customFormat="false" ht="26.85" hidden="false" customHeight="false" outlineLevel="0" collapsed="false">
      <c r="A3" s="2" t="s">
        <v>434</v>
      </c>
      <c r="B3" s="5" t="s">
        <v>435</v>
      </c>
      <c r="C3" s="5" t="s">
        <v>119</v>
      </c>
      <c r="D3" s="5" t="s">
        <v>33</v>
      </c>
      <c r="E3" s="5" t="s">
        <v>123</v>
      </c>
      <c r="F3" s="2" t="s">
        <v>344</v>
      </c>
      <c r="G3" s="5" t="s">
        <v>436</v>
      </c>
      <c r="H3" s="5" t="s">
        <v>265</v>
      </c>
      <c r="I3" s="5" t="s">
        <v>346</v>
      </c>
      <c r="J3" s="5" t="s">
        <v>437</v>
      </c>
      <c r="K3" s="5" t="s">
        <v>438</v>
      </c>
      <c r="L3" s="5" t="s">
        <v>131</v>
      </c>
    </row>
    <row r="4" customFormat="false" ht="26.85" hidden="false" customHeight="false" outlineLevel="0" collapsed="false">
      <c r="A4" s="2" t="s">
        <v>439</v>
      </c>
      <c r="B4" s="5" t="s">
        <v>440</v>
      </c>
      <c r="C4" s="5" t="s">
        <v>119</v>
      </c>
      <c r="D4" s="5" t="s">
        <v>31</v>
      </c>
      <c r="E4" s="5" t="s">
        <v>123</v>
      </c>
      <c r="F4" s="2" t="s">
        <v>344</v>
      </c>
      <c r="G4" s="5" t="s">
        <v>436</v>
      </c>
      <c r="H4" s="5" t="s">
        <v>265</v>
      </c>
      <c r="I4" s="5" t="s">
        <v>346</v>
      </c>
      <c r="J4" s="5" t="s">
        <v>441</v>
      </c>
      <c r="K4" s="5" t="s">
        <v>442</v>
      </c>
      <c r="L4" s="5" t="s">
        <v>131</v>
      </c>
    </row>
    <row r="5" customFormat="false" ht="26.85" hidden="false" customHeight="false" outlineLevel="0" collapsed="false">
      <c r="A5" s="2" t="s">
        <v>443</v>
      </c>
      <c r="B5" s="5" t="s">
        <v>444</v>
      </c>
      <c r="C5" s="5" t="s">
        <v>119</v>
      </c>
      <c r="D5" s="5" t="s">
        <v>30</v>
      </c>
      <c r="E5" s="5" t="s">
        <v>123</v>
      </c>
      <c r="F5" s="2" t="s">
        <v>344</v>
      </c>
      <c r="G5" s="5" t="s">
        <v>445</v>
      </c>
      <c r="H5" s="5" t="s">
        <v>104</v>
      </c>
      <c r="I5" s="5" t="s">
        <v>346</v>
      </c>
      <c r="J5" s="5" t="s">
        <v>446</v>
      </c>
      <c r="K5" s="5" t="s">
        <v>447</v>
      </c>
      <c r="L5" s="5" t="s">
        <v>131</v>
      </c>
    </row>
    <row r="6" customFormat="false" ht="26.85" hidden="false" customHeight="false" outlineLevel="0" collapsed="false">
      <c r="A6" s="2" t="s">
        <v>448</v>
      </c>
      <c r="B6" s="5" t="s">
        <v>449</v>
      </c>
      <c r="C6" s="5" t="s">
        <v>119</v>
      </c>
      <c r="D6" s="5" t="s">
        <v>30</v>
      </c>
      <c r="E6" s="5" t="s">
        <v>123</v>
      </c>
      <c r="F6" s="2" t="s">
        <v>344</v>
      </c>
      <c r="G6" s="5" t="s">
        <v>450</v>
      </c>
      <c r="H6" s="5" t="s">
        <v>104</v>
      </c>
      <c r="I6" s="5" t="s">
        <v>346</v>
      </c>
      <c r="J6" s="5" t="s">
        <v>451</v>
      </c>
      <c r="K6" s="5" t="s">
        <v>452</v>
      </c>
      <c r="L6" s="5" t="s">
        <v>131</v>
      </c>
    </row>
    <row r="7" customFormat="false" ht="26.85" hidden="false" customHeight="false" outlineLevel="0" collapsed="false">
      <c r="A7" s="2" t="s">
        <v>453</v>
      </c>
      <c r="B7" s="5" t="s">
        <v>454</v>
      </c>
      <c r="C7" s="5" t="s">
        <v>119</v>
      </c>
      <c r="D7" s="5" t="s">
        <v>32</v>
      </c>
      <c r="E7" s="5" t="s">
        <v>123</v>
      </c>
      <c r="F7" s="2" t="s">
        <v>344</v>
      </c>
      <c r="G7" s="5" t="s">
        <v>445</v>
      </c>
      <c r="H7" s="5" t="s">
        <v>104</v>
      </c>
      <c r="I7" s="5" t="s">
        <v>346</v>
      </c>
      <c r="J7" s="5" t="s">
        <v>455</v>
      </c>
      <c r="K7" s="5" t="s">
        <v>456</v>
      </c>
      <c r="L7" s="5" t="s">
        <v>131</v>
      </c>
    </row>
    <row r="8" customFormat="false" ht="26.85" hidden="false" customHeight="false" outlineLevel="0" collapsed="false">
      <c r="A8" s="2" t="s">
        <v>457</v>
      </c>
      <c r="B8" s="5" t="s">
        <v>458</v>
      </c>
      <c r="C8" s="5" t="s">
        <v>119</v>
      </c>
      <c r="D8" s="5" t="s">
        <v>32</v>
      </c>
      <c r="E8" s="5" t="s">
        <v>123</v>
      </c>
      <c r="F8" s="2" t="s">
        <v>344</v>
      </c>
      <c r="G8" s="5" t="s">
        <v>459</v>
      </c>
      <c r="H8" s="5" t="s">
        <v>104</v>
      </c>
      <c r="I8" s="5" t="s">
        <v>346</v>
      </c>
      <c r="J8" s="5" t="s">
        <v>460</v>
      </c>
      <c r="K8" s="5" t="s">
        <v>461</v>
      </c>
      <c r="L8" s="5" t="s">
        <v>131</v>
      </c>
    </row>
    <row r="9" customFormat="false" ht="26.85" hidden="false" customHeight="false" outlineLevel="0" collapsed="false">
      <c r="A9" s="2" t="s">
        <v>462</v>
      </c>
      <c r="B9" s="5" t="s">
        <v>463</v>
      </c>
      <c r="C9" s="5" t="s">
        <v>119</v>
      </c>
      <c r="D9" s="5" t="s">
        <v>33</v>
      </c>
      <c r="E9" s="5" t="s">
        <v>123</v>
      </c>
      <c r="F9" s="2" t="s">
        <v>344</v>
      </c>
      <c r="G9" s="5" t="s">
        <v>436</v>
      </c>
      <c r="H9" s="5" t="s">
        <v>265</v>
      </c>
      <c r="I9" s="5" t="s">
        <v>368</v>
      </c>
      <c r="J9" s="5" t="s">
        <v>464</v>
      </c>
      <c r="K9" s="5" t="s">
        <v>465</v>
      </c>
      <c r="L9" s="5" t="s">
        <v>131</v>
      </c>
    </row>
    <row r="10" customFormat="false" ht="26.85" hidden="false" customHeight="false" outlineLevel="0" collapsed="false">
      <c r="A10" s="2" t="s">
        <v>466</v>
      </c>
      <c r="B10" s="5" t="s">
        <v>467</v>
      </c>
      <c r="C10" s="5" t="s">
        <v>119</v>
      </c>
      <c r="D10" s="5" t="s">
        <v>33</v>
      </c>
      <c r="E10" s="5" t="s">
        <v>123</v>
      </c>
      <c r="F10" s="2" t="s">
        <v>344</v>
      </c>
      <c r="G10" s="5" t="s">
        <v>345</v>
      </c>
      <c r="H10" s="5" t="s">
        <v>265</v>
      </c>
      <c r="I10" s="5" t="s">
        <v>368</v>
      </c>
      <c r="J10" s="5" t="s">
        <v>468</v>
      </c>
      <c r="K10" s="5" t="s">
        <v>469</v>
      </c>
      <c r="L10" s="5" t="s">
        <v>131</v>
      </c>
    </row>
    <row r="11" customFormat="false" ht="26.85" hidden="false" customHeight="false" outlineLevel="0" collapsed="false">
      <c r="A11" s="2" t="s">
        <v>470</v>
      </c>
      <c r="B11" s="5" t="s">
        <v>471</v>
      </c>
      <c r="C11" s="5" t="s">
        <v>119</v>
      </c>
      <c r="D11" s="5" t="s">
        <v>31</v>
      </c>
      <c r="E11" s="5" t="s">
        <v>123</v>
      </c>
      <c r="F11" s="2" t="s">
        <v>344</v>
      </c>
      <c r="G11" s="5" t="s">
        <v>436</v>
      </c>
      <c r="H11" s="5" t="s">
        <v>265</v>
      </c>
      <c r="I11" s="5" t="s">
        <v>346</v>
      </c>
      <c r="J11" s="5" t="s">
        <v>472</v>
      </c>
      <c r="K11" s="5" t="s">
        <v>473</v>
      </c>
      <c r="L11" s="5" t="s">
        <v>131</v>
      </c>
    </row>
    <row r="12" customFormat="false" ht="26.85" hidden="false" customHeight="false" outlineLevel="0" collapsed="false">
      <c r="A12" s="2" t="s">
        <v>474</v>
      </c>
      <c r="B12" s="5" t="s">
        <v>475</v>
      </c>
      <c r="C12" s="5" t="s">
        <v>119</v>
      </c>
      <c r="D12" s="5" t="s">
        <v>34</v>
      </c>
      <c r="E12" s="5" t="s">
        <v>123</v>
      </c>
      <c r="F12" s="2" t="s">
        <v>344</v>
      </c>
      <c r="G12" s="5" t="s">
        <v>476</v>
      </c>
      <c r="H12" s="5" t="s">
        <v>265</v>
      </c>
      <c r="I12" s="5" t="s">
        <v>346</v>
      </c>
      <c r="J12" s="5" t="s">
        <v>477</v>
      </c>
      <c r="K12" s="5" t="s">
        <v>478</v>
      </c>
      <c r="L12" s="5" t="s">
        <v>131</v>
      </c>
    </row>
    <row r="13" customFormat="false" ht="26.85" hidden="false" customHeight="false" outlineLevel="0" collapsed="false">
      <c r="A13" s="2" t="s">
        <v>479</v>
      </c>
      <c r="B13" s="5" t="s">
        <v>480</v>
      </c>
      <c r="C13" s="5" t="s">
        <v>119</v>
      </c>
      <c r="D13" s="5" t="s">
        <v>33</v>
      </c>
      <c r="E13" s="5" t="s">
        <v>123</v>
      </c>
      <c r="F13" s="2" t="s">
        <v>344</v>
      </c>
      <c r="G13" s="5" t="s">
        <v>345</v>
      </c>
      <c r="H13" s="5" t="s">
        <v>265</v>
      </c>
      <c r="I13" s="5" t="s">
        <v>346</v>
      </c>
      <c r="J13" s="5" t="s">
        <v>481</v>
      </c>
      <c r="K13" s="5" t="s">
        <v>482</v>
      </c>
      <c r="L13" s="5" t="s">
        <v>131</v>
      </c>
    </row>
    <row r="14" customFormat="false" ht="26.85" hidden="false" customHeight="false" outlineLevel="0" collapsed="false">
      <c r="A14" s="8" t="s">
        <v>483</v>
      </c>
      <c r="B14" s="9" t="s">
        <v>484</v>
      </c>
      <c r="C14" s="9" t="s">
        <v>153</v>
      </c>
      <c r="D14" s="9" t="s">
        <v>485</v>
      </c>
      <c r="E14" s="9" t="s">
        <v>486</v>
      </c>
      <c r="F14" s="8" t="s">
        <v>487</v>
      </c>
      <c r="G14" s="9" t="s">
        <v>190</v>
      </c>
      <c r="H14" s="9" t="s">
        <v>190</v>
      </c>
      <c r="I14" s="9" t="s">
        <v>488</v>
      </c>
      <c r="J14" s="9"/>
      <c r="K14" s="9" t="s">
        <v>164</v>
      </c>
      <c r="L14" s="9" t="s">
        <v>131</v>
      </c>
    </row>
    <row r="15" customFormat="false" ht="26.85" hidden="false" customHeight="false" outlineLevel="0" collapsed="false">
      <c r="A15" s="8" t="s">
        <v>489</v>
      </c>
      <c r="B15" s="9" t="s">
        <v>490</v>
      </c>
      <c r="C15" s="9" t="s">
        <v>153</v>
      </c>
      <c r="D15" s="9" t="s">
        <v>485</v>
      </c>
      <c r="E15" s="9" t="s">
        <v>486</v>
      </c>
      <c r="F15" s="8" t="s">
        <v>487</v>
      </c>
      <c r="G15" s="9" t="s">
        <v>190</v>
      </c>
      <c r="H15" s="9" t="s">
        <v>190</v>
      </c>
      <c r="I15" s="9" t="s">
        <v>488</v>
      </c>
      <c r="J15" s="9"/>
      <c r="K15" s="9" t="s">
        <v>164</v>
      </c>
      <c r="L15" s="9" t="s">
        <v>131</v>
      </c>
    </row>
    <row r="16" customFormat="false" ht="26.85" hidden="false" customHeight="false" outlineLevel="0" collapsed="false">
      <c r="A16" s="2" t="s">
        <v>491</v>
      </c>
      <c r="B16" s="5" t="s">
        <v>492</v>
      </c>
      <c r="C16" s="5" t="s">
        <v>411</v>
      </c>
      <c r="D16" s="5" t="s">
        <v>412</v>
      </c>
      <c r="E16" s="5" t="s">
        <v>413</v>
      </c>
      <c r="F16" s="2" t="s">
        <v>414</v>
      </c>
      <c r="G16" s="5" t="s">
        <v>265</v>
      </c>
      <c r="H16" s="5" t="s">
        <v>265</v>
      </c>
      <c r="I16" s="5" t="s">
        <v>346</v>
      </c>
      <c r="J16" s="5"/>
      <c r="K16" s="5" t="s">
        <v>415</v>
      </c>
      <c r="L16" s="5" t="s">
        <v>176</v>
      </c>
    </row>
    <row r="17" customFormat="false" ht="26.85" hidden="false" customHeight="false" outlineLevel="0" collapsed="false">
      <c r="A17" s="2" t="s">
        <v>493</v>
      </c>
      <c r="B17" s="5" t="s">
        <v>494</v>
      </c>
      <c r="C17" s="5" t="s">
        <v>132</v>
      </c>
      <c r="D17" s="5" t="s">
        <v>424</v>
      </c>
      <c r="E17" s="5" t="s">
        <v>425</v>
      </c>
      <c r="F17" s="2" t="s">
        <v>426</v>
      </c>
      <c r="G17" s="5" t="s">
        <v>427</v>
      </c>
      <c r="H17" s="5" t="s">
        <v>428</v>
      </c>
      <c r="I17" s="5" t="s">
        <v>346</v>
      </c>
      <c r="J17" s="5"/>
      <c r="K17" s="5" t="s">
        <v>429</v>
      </c>
      <c r="L17" s="5" t="s">
        <v>142</v>
      </c>
    </row>
    <row r="18" customFormat="false" ht="26.85" hidden="false" customHeight="false" outlineLevel="0" collapsed="false">
      <c r="A18" s="2" t="s">
        <v>495</v>
      </c>
      <c r="B18" s="5" t="s">
        <v>496</v>
      </c>
      <c r="C18" s="5" t="s">
        <v>132</v>
      </c>
      <c r="D18" s="5" t="s">
        <v>424</v>
      </c>
      <c r="E18" s="5" t="s">
        <v>425</v>
      </c>
      <c r="F18" s="2" t="s">
        <v>426</v>
      </c>
      <c r="G18" s="5" t="s">
        <v>427</v>
      </c>
      <c r="H18" s="5" t="s">
        <v>428</v>
      </c>
      <c r="I18" s="5" t="s">
        <v>346</v>
      </c>
      <c r="J18" s="5"/>
      <c r="K18" s="5" t="s">
        <v>429</v>
      </c>
      <c r="L18" s="5" t="s">
        <v>142</v>
      </c>
    </row>
    <row r="19" customFormat="false" ht="26.85" hidden="false" customHeight="false" outlineLevel="0" collapsed="false">
      <c r="A19" s="2" t="s">
        <v>497</v>
      </c>
      <c r="B19" s="5" t="s">
        <v>498</v>
      </c>
      <c r="C19" s="5" t="s">
        <v>132</v>
      </c>
      <c r="D19" s="5" t="s">
        <v>424</v>
      </c>
      <c r="E19" s="5" t="s">
        <v>425</v>
      </c>
      <c r="F19" s="2" t="s">
        <v>426</v>
      </c>
      <c r="G19" s="5" t="s">
        <v>427</v>
      </c>
      <c r="H19" s="5" t="s">
        <v>428</v>
      </c>
      <c r="I19" s="5" t="s">
        <v>346</v>
      </c>
      <c r="J19" s="5"/>
      <c r="K19" s="5" t="s">
        <v>429</v>
      </c>
      <c r="L19" s="5" t="s">
        <v>142</v>
      </c>
    </row>
    <row r="20" customFormat="false" ht="26.85" hidden="false" customHeight="false" outlineLevel="0" collapsed="false">
      <c r="A20" s="2" t="s">
        <v>499</v>
      </c>
      <c r="B20" s="5" t="s">
        <v>500</v>
      </c>
      <c r="C20" s="5" t="s">
        <v>132</v>
      </c>
      <c r="D20" s="5" t="s">
        <v>424</v>
      </c>
      <c r="E20" s="5" t="s">
        <v>425</v>
      </c>
      <c r="F20" s="2" t="s">
        <v>426</v>
      </c>
      <c r="G20" s="5" t="s">
        <v>427</v>
      </c>
      <c r="H20" s="5" t="s">
        <v>428</v>
      </c>
      <c r="I20" s="5" t="s">
        <v>346</v>
      </c>
      <c r="J20" s="5"/>
      <c r="K20" s="5" t="s">
        <v>429</v>
      </c>
      <c r="L20" s="5" t="s">
        <v>142</v>
      </c>
    </row>
    <row r="21" customFormat="false" ht="26.85" hidden="false" customHeight="false" outlineLevel="0" collapsed="false">
      <c r="A21" s="2" t="s">
        <v>501</v>
      </c>
      <c r="B21" s="5" t="s">
        <v>502</v>
      </c>
      <c r="C21" s="5" t="s">
        <v>132</v>
      </c>
      <c r="D21" s="5" t="s">
        <v>424</v>
      </c>
      <c r="E21" s="5" t="s">
        <v>425</v>
      </c>
      <c r="F21" s="2" t="s">
        <v>426</v>
      </c>
      <c r="G21" s="5" t="s">
        <v>427</v>
      </c>
      <c r="H21" s="5" t="s">
        <v>428</v>
      </c>
      <c r="I21" s="5" t="s">
        <v>346</v>
      </c>
      <c r="J21" s="5"/>
      <c r="K21" s="5" t="s">
        <v>429</v>
      </c>
      <c r="L21" s="5" t="s">
        <v>142</v>
      </c>
    </row>
    <row r="22" customFormat="false" ht="26.85" hidden="false" customHeight="false" outlineLevel="0" collapsed="false">
      <c r="A22" s="2" t="s">
        <v>503</v>
      </c>
      <c r="B22" s="5" t="s">
        <v>504</v>
      </c>
      <c r="C22" s="5" t="s">
        <v>132</v>
      </c>
      <c r="D22" s="5" t="s">
        <v>424</v>
      </c>
      <c r="E22" s="5" t="s">
        <v>425</v>
      </c>
      <c r="F22" s="2" t="s">
        <v>426</v>
      </c>
      <c r="G22" s="5" t="s">
        <v>427</v>
      </c>
      <c r="H22" s="5" t="s">
        <v>428</v>
      </c>
      <c r="I22" s="5" t="s">
        <v>346</v>
      </c>
      <c r="J22" s="5"/>
      <c r="K22" s="5" t="s">
        <v>429</v>
      </c>
      <c r="L22" s="5" t="s">
        <v>142</v>
      </c>
    </row>
  </sheetData>
  <autoFilter ref="A1:L2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505</v>
      </c>
      <c r="B2" s="5" t="s">
        <v>506</v>
      </c>
      <c r="C2" s="5" t="s">
        <v>119</v>
      </c>
      <c r="D2" s="5" t="s">
        <v>30</v>
      </c>
      <c r="E2" s="5" t="s">
        <v>123</v>
      </c>
      <c r="F2" s="2" t="s">
        <v>344</v>
      </c>
      <c r="G2" s="5" t="s">
        <v>345</v>
      </c>
      <c r="H2" s="5" t="s">
        <v>265</v>
      </c>
      <c r="I2" s="5" t="s">
        <v>346</v>
      </c>
      <c r="J2" s="5" t="s">
        <v>507</v>
      </c>
      <c r="K2" s="5" t="s">
        <v>508</v>
      </c>
      <c r="L2" s="5" t="s">
        <v>131</v>
      </c>
    </row>
    <row r="3" customFormat="false" ht="26.85" hidden="false" customHeight="false" outlineLevel="0" collapsed="false">
      <c r="A3" s="2" t="s">
        <v>509</v>
      </c>
      <c r="B3" s="5" t="s">
        <v>510</v>
      </c>
      <c r="C3" s="5" t="s">
        <v>119</v>
      </c>
      <c r="D3" s="5" t="s">
        <v>30</v>
      </c>
      <c r="E3" s="5" t="s">
        <v>123</v>
      </c>
      <c r="F3" s="2" t="s">
        <v>344</v>
      </c>
      <c r="G3" s="5" t="s">
        <v>345</v>
      </c>
      <c r="H3" s="5" t="s">
        <v>265</v>
      </c>
      <c r="I3" s="5" t="s">
        <v>346</v>
      </c>
      <c r="J3" s="5" t="s">
        <v>511</v>
      </c>
      <c r="K3" s="5" t="s">
        <v>512</v>
      </c>
      <c r="L3" s="5" t="s">
        <v>131</v>
      </c>
    </row>
    <row r="4" customFormat="false" ht="26.85" hidden="false" customHeight="false" outlineLevel="0" collapsed="false">
      <c r="A4" s="2" t="s">
        <v>513</v>
      </c>
      <c r="B4" s="5" t="s">
        <v>514</v>
      </c>
      <c r="C4" s="5" t="s">
        <v>119</v>
      </c>
      <c r="D4" s="5" t="s">
        <v>31</v>
      </c>
      <c r="E4" s="5" t="s">
        <v>123</v>
      </c>
      <c r="F4" s="2" t="s">
        <v>344</v>
      </c>
      <c r="G4" s="5" t="s">
        <v>345</v>
      </c>
      <c r="H4" s="5" t="s">
        <v>265</v>
      </c>
      <c r="I4" s="5" t="s">
        <v>346</v>
      </c>
      <c r="J4" s="5" t="s">
        <v>515</v>
      </c>
      <c r="K4" s="5" t="s">
        <v>516</v>
      </c>
      <c r="L4" s="5" t="s">
        <v>131</v>
      </c>
    </row>
    <row r="5" customFormat="false" ht="26.85" hidden="false" customHeight="false" outlineLevel="0" collapsed="false">
      <c r="A5" s="2" t="s">
        <v>517</v>
      </c>
      <c r="B5" s="5" t="s">
        <v>518</v>
      </c>
      <c r="C5" s="5" t="s">
        <v>119</v>
      </c>
      <c r="D5" s="5" t="s">
        <v>30</v>
      </c>
      <c r="E5" s="5" t="s">
        <v>123</v>
      </c>
      <c r="F5" s="2" t="s">
        <v>344</v>
      </c>
      <c r="G5" s="5" t="s">
        <v>345</v>
      </c>
      <c r="H5" s="5" t="s">
        <v>265</v>
      </c>
      <c r="I5" s="5" t="s">
        <v>346</v>
      </c>
      <c r="J5" s="5" t="s">
        <v>519</v>
      </c>
      <c r="K5" s="5" t="s">
        <v>520</v>
      </c>
      <c r="L5" s="5" t="s">
        <v>131</v>
      </c>
    </row>
    <row r="6" customFormat="false" ht="26.85" hidden="false" customHeight="false" outlineLevel="0" collapsed="false">
      <c r="A6" s="2" t="s">
        <v>521</v>
      </c>
      <c r="B6" s="5" t="s">
        <v>522</v>
      </c>
      <c r="C6" s="5" t="s">
        <v>119</v>
      </c>
      <c r="D6" s="5" t="s">
        <v>30</v>
      </c>
      <c r="E6" s="5" t="s">
        <v>123</v>
      </c>
      <c r="F6" s="2" t="s">
        <v>344</v>
      </c>
      <c r="G6" s="5" t="s">
        <v>351</v>
      </c>
      <c r="H6" s="5" t="s">
        <v>104</v>
      </c>
      <c r="I6" s="5" t="s">
        <v>346</v>
      </c>
      <c r="J6" s="5" t="s">
        <v>523</v>
      </c>
      <c r="K6" s="5" t="s">
        <v>524</v>
      </c>
      <c r="L6" s="5" t="s">
        <v>131</v>
      </c>
    </row>
    <row r="7" customFormat="false" ht="26.85" hidden="false" customHeight="false" outlineLevel="0" collapsed="false">
      <c r="A7" s="2" t="s">
        <v>525</v>
      </c>
      <c r="B7" s="5" t="s">
        <v>526</v>
      </c>
      <c r="C7" s="5" t="s">
        <v>119</v>
      </c>
      <c r="D7" s="5" t="s">
        <v>31</v>
      </c>
      <c r="E7" s="5" t="s">
        <v>123</v>
      </c>
      <c r="F7" s="2" t="s">
        <v>344</v>
      </c>
      <c r="G7" s="5" t="s">
        <v>373</v>
      </c>
      <c r="H7" s="5" t="s">
        <v>104</v>
      </c>
      <c r="I7" s="5" t="s">
        <v>346</v>
      </c>
      <c r="J7" s="5" t="s">
        <v>527</v>
      </c>
      <c r="K7" s="5" t="s">
        <v>528</v>
      </c>
      <c r="L7" s="5" t="s">
        <v>131</v>
      </c>
    </row>
    <row r="8" customFormat="false" ht="26.85" hidden="false" customHeight="false" outlineLevel="0" collapsed="false">
      <c r="A8" s="2" t="s">
        <v>529</v>
      </c>
      <c r="B8" s="5" t="s">
        <v>530</v>
      </c>
      <c r="C8" s="5" t="s">
        <v>119</v>
      </c>
      <c r="D8" s="5" t="s">
        <v>34</v>
      </c>
      <c r="E8" s="5" t="s">
        <v>123</v>
      </c>
      <c r="F8" s="2" t="s">
        <v>344</v>
      </c>
      <c r="G8" s="5" t="s">
        <v>436</v>
      </c>
      <c r="H8" s="5" t="s">
        <v>265</v>
      </c>
      <c r="I8" s="5" t="s">
        <v>346</v>
      </c>
      <c r="J8" s="5" t="s">
        <v>531</v>
      </c>
      <c r="K8" s="5" t="s">
        <v>532</v>
      </c>
      <c r="L8" s="5" t="s">
        <v>131</v>
      </c>
    </row>
    <row r="9" customFormat="false" ht="26.85" hidden="false" customHeight="false" outlineLevel="0" collapsed="false">
      <c r="A9" s="2" t="s">
        <v>533</v>
      </c>
      <c r="B9" s="5" t="s">
        <v>534</v>
      </c>
      <c r="C9" s="5" t="s">
        <v>119</v>
      </c>
      <c r="D9" s="5" t="s">
        <v>31</v>
      </c>
      <c r="E9" s="5" t="s">
        <v>123</v>
      </c>
      <c r="F9" s="2" t="s">
        <v>344</v>
      </c>
      <c r="G9" s="5" t="s">
        <v>345</v>
      </c>
      <c r="H9" s="5" t="s">
        <v>265</v>
      </c>
      <c r="I9" s="5" t="s">
        <v>346</v>
      </c>
      <c r="J9" s="5" t="s">
        <v>535</v>
      </c>
      <c r="K9" s="5" t="s">
        <v>536</v>
      </c>
      <c r="L9" s="5" t="s">
        <v>131</v>
      </c>
    </row>
    <row r="10" customFormat="false" ht="26.85" hidden="false" customHeight="false" outlineLevel="0" collapsed="false">
      <c r="A10" s="2" t="s">
        <v>537</v>
      </c>
      <c r="B10" s="5" t="s">
        <v>538</v>
      </c>
      <c r="C10" s="5" t="s">
        <v>119</v>
      </c>
      <c r="D10" s="5" t="s">
        <v>33</v>
      </c>
      <c r="E10" s="5" t="s">
        <v>123</v>
      </c>
      <c r="F10" s="2" t="s">
        <v>344</v>
      </c>
      <c r="G10" s="5" t="s">
        <v>345</v>
      </c>
      <c r="H10" s="5" t="s">
        <v>265</v>
      </c>
      <c r="I10" s="5" t="s">
        <v>488</v>
      </c>
      <c r="J10" s="5" t="s">
        <v>539</v>
      </c>
      <c r="K10" s="5" t="s">
        <v>540</v>
      </c>
      <c r="L10" s="5" t="s">
        <v>131</v>
      </c>
    </row>
    <row r="11" customFormat="false" ht="26.85" hidden="false" customHeight="false" outlineLevel="0" collapsed="false">
      <c r="A11" s="2" t="s">
        <v>541</v>
      </c>
      <c r="B11" s="5" t="s">
        <v>542</v>
      </c>
      <c r="C11" s="5" t="s">
        <v>119</v>
      </c>
      <c r="D11" s="5" t="s">
        <v>31</v>
      </c>
      <c r="E11" s="5" t="s">
        <v>123</v>
      </c>
      <c r="F11" s="2" t="s">
        <v>344</v>
      </c>
      <c r="G11" s="5" t="s">
        <v>345</v>
      </c>
      <c r="H11" s="5" t="s">
        <v>265</v>
      </c>
      <c r="I11" s="5" t="s">
        <v>346</v>
      </c>
      <c r="J11" s="5" t="s">
        <v>543</v>
      </c>
      <c r="K11" s="5" t="s">
        <v>544</v>
      </c>
      <c r="L11" s="5" t="s">
        <v>131</v>
      </c>
    </row>
    <row r="12" customFormat="false" ht="26.85" hidden="false" customHeight="false" outlineLevel="0" collapsed="false">
      <c r="A12" s="2" t="s">
        <v>545</v>
      </c>
      <c r="B12" s="5" t="s">
        <v>546</v>
      </c>
      <c r="C12" s="5" t="s">
        <v>119</v>
      </c>
      <c r="D12" s="5" t="s">
        <v>33</v>
      </c>
      <c r="E12" s="5" t="s">
        <v>123</v>
      </c>
      <c r="F12" s="2" t="s">
        <v>344</v>
      </c>
      <c r="G12" s="5" t="s">
        <v>345</v>
      </c>
      <c r="H12" s="5" t="s">
        <v>265</v>
      </c>
      <c r="I12" s="5" t="s">
        <v>368</v>
      </c>
      <c r="J12" s="5" t="s">
        <v>547</v>
      </c>
      <c r="K12" s="5" t="s">
        <v>548</v>
      </c>
      <c r="L12" s="5" t="s">
        <v>131</v>
      </c>
    </row>
    <row r="13" customFormat="false" ht="26.85" hidden="false" customHeight="false" outlineLevel="0" collapsed="false">
      <c r="A13" s="2" t="s">
        <v>549</v>
      </c>
      <c r="B13" s="5" t="s">
        <v>550</v>
      </c>
      <c r="C13" s="5" t="s">
        <v>119</v>
      </c>
      <c r="D13" s="5" t="s">
        <v>30</v>
      </c>
      <c r="E13" s="5" t="s">
        <v>123</v>
      </c>
      <c r="F13" s="2" t="s">
        <v>344</v>
      </c>
      <c r="G13" s="5" t="s">
        <v>345</v>
      </c>
      <c r="H13" s="5" t="s">
        <v>265</v>
      </c>
      <c r="I13" s="5" t="s">
        <v>346</v>
      </c>
      <c r="J13" s="5" t="s">
        <v>551</v>
      </c>
      <c r="K13" s="5" t="s">
        <v>552</v>
      </c>
      <c r="L13" s="5" t="s">
        <v>131</v>
      </c>
    </row>
    <row r="14" customFormat="false" ht="26.85" hidden="false" customHeight="false" outlineLevel="0" collapsed="false">
      <c r="A14" s="2" t="s">
        <v>553</v>
      </c>
      <c r="B14" s="5" t="s">
        <v>554</v>
      </c>
      <c r="C14" s="5" t="s">
        <v>411</v>
      </c>
      <c r="D14" s="5" t="s">
        <v>412</v>
      </c>
      <c r="E14" s="5" t="s">
        <v>413</v>
      </c>
      <c r="F14" s="2" t="s">
        <v>414</v>
      </c>
      <c r="G14" s="5" t="s">
        <v>265</v>
      </c>
      <c r="H14" s="5" t="s">
        <v>265</v>
      </c>
      <c r="I14" s="5" t="s">
        <v>346</v>
      </c>
      <c r="J14" s="5"/>
      <c r="K14" s="5" t="s">
        <v>415</v>
      </c>
      <c r="L14" s="5" t="s">
        <v>176</v>
      </c>
    </row>
    <row r="15" customFormat="false" ht="39.55" hidden="false" customHeight="false" outlineLevel="0" collapsed="false">
      <c r="A15" s="8" t="s">
        <v>555</v>
      </c>
      <c r="B15" s="9" t="s">
        <v>556</v>
      </c>
      <c r="C15" s="9" t="s">
        <v>317</v>
      </c>
      <c r="D15" s="9" t="s">
        <v>557</v>
      </c>
      <c r="E15" s="9" t="s">
        <v>558</v>
      </c>
      <c r="F15" s="8" t="s">
        <v>559</v>
      </c>
      <c r="G15" s="9" t="s">
        <v>155</v>
      </c>
      <c r="H15" s="9" t="s">
        <v>190</v>
      </c>
      <c r="I15" s="9" t="s">
        <v>488</v>
      </c>
      <c r="J15" s="9"/>
      <c r="K15" s="9" t="s">
        <v>325</v>
      </c>
      <c r="L15" s="9" t="s">
        <v>142</v>
      </c>
    </row>
    <row r="16" customFormat="false" ht="39.55" hidden="false" customHeight="false" outlineLevel="0" collapsed="false">
      <c r="A16" s="8" t="s">
        <v>560</v>
      </c>
      <c r="B16" s="9" t="s">
        <v>561</v>
      </c>
      <c r="C16" s="9" t="s">
        <v>317</v>
      </c>
      <c r="D16" s="9" t="s">
        <v>557</v>
      </c>
      <c r="E16" s="9" t="s">
        <v>558</v>
      </c>
      <c r="F16" s="8" t="s">
        <v>559</v>
      </c>
      <c r="G16" s="9" t="s">
        <v>155</v>
      </c>
      <c r="H16" s="9" t="s">
        <v>190</v>
      </c>
      <c r="I16" s="9" t="s">
        <v>488</v>
      </c>
      <c r="J16" s="9"/>
      <c r="K16" s="9" t="s">
        <v>325</v>
      </c>
      <c r="L16" s="9" t="s">
        <v>142</v>
      </c>
    </row>
    <row r="17" customFormat="false" ht="39.55" hidden="false" customHeight="false" outlineLevel="0" collapsed="false">
      <c r="A17" s="8" t="s">
        <v>562</v>
      </c>
      <c r="B17" s="9" t="s">
        <v>563</v>
      </c>
      <c r="C17" s="9" t="s">
        <v>317</v>
      </c>
      <c r="D17" s="9" t="s">
        <v>557</v>
      </c>
      <c r="E17" s="9" t="s">
        <v>558</v>
      </c>
      <c r="F17" s="8" t="s">
        <v>559</v>
      </c>
      <c r="G17" s="9" t="s">
        <v>564</v>
      </c>
      <c r="H17" s="9" t="s">
        <v>190</v>
      </c>
      <c r="I17" s="9" t="s">
        <v>488</v>
      </c>
      <c r="J17" s="9"/>
      <c r="K17" s="9" t="s">
        <v>325</v>
      </c>
      <c r="L17" s="9" t="s">
        <v>142</v>
      </c>
    </row>
    <row r="18" customFormat="false" ht="26.85" hidden="false" customHeight="false" outlineLevel="0" collapsed="false">
      <c r="A18" s="2" t="s">
        <v>565</v>
      </c>
      <c r="B18" s="5" t="s">
        <v>566</v>
      </c>
      <c r="C18" s="5" t="s">
        <v>132</v>
      </c>
      <c r="D18" s="5" t="s">
        <v>424</v>
      </c>
      <c r="E18" s="5" t="s">
        <v>425</v>
      </c>
      <c r="F18" s="2" t="s">
        <v>426</v>
      </c>
      <c r="G18" s="5" t="s">
        <v>427</v>
      </c>
      <c r="H18" s="5" t="s">
        <v>428</v>
      </c>
      <c r="I18" s="5" t="s">
        <v>346</v>
      </c>
      <c r="J18" s="5"/>
      <c r="K18" s="5" t="s">
        <v>429</v>
      </c>
      <c r="L18" s="5" t="s">
        <v>142</v>
      </c>
    </row>
    <row r="19" customFormat="false" ht="26.85" hidden="false" customHeight="false" outlineLevel="0" collapsed="false">
      <c r="A19" s="2" t="s">
        <v>567</v>
      </c>
      <c r="B19" s="5" t="s">
        <v>568</v>
      </c>
      <c r="C19" s="5" t="s">
        <v>132</v>
      </c>
      <c r="D19" s="5" t="s">
        <v>424</v>
      </c>
      <c r="E19" s="5" t="s">
        <v>425</v>
      </c>
      <c r="F19" s="2" t="s">
        <v>426</v>
      </c>
      <c r="G19" s="5" t="s">
        <v>427</v>
      </c>
      <c r="H19" s="5" t="s">
        <v>428</v>
      </c>
      <c r="I19" s="5" t="s">
        <v>346</v>
      </c>
      <c r="J19" s="5"/>
      <c r="K19" s="5" t="s">
        <v>429</v>
      </c>
      <c r="L19" s="5" t="s">
        <v>142</v>
      </c>
    </row>
  </sheetData>
  <autoFilter ref="A1:L1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569</v>
      </c>
      <c r="B2" s="5" t="s">
        <v>570</v>
      </c>
      <c r="C2" s="5" t="s">
        <v>119</v>
      </c>
      <c r="D2" s="5" t="s">
        <v>32</v>
      </c>
      <c r="E2" s="5" t="s">
        <v>123</v>
      </c>
      <c r="F2" s="2" t="s">
        <v>344</v>
      </c>
      <c r="G2" s="5" t="s">
        <v>345</v>
      </c>
      <c r="H2" s="5" t="s">
        <v>265</v>
      </c>
      <c r="I2" s="5" t="s">
        <v>346</v>
      </c>
      <c r="J2" s="5" t="s">
        <v>571</v>
      </c>
      <c r="K2" s="5" t="s">
        <v>572</v>
      </c>
      <c r="L2" s="5" t="s">
        <v>131</v>
      </c>
    </row>
    <row r="3" customFormat="false" ht="26.85" hidden="false" customHeight="false" outlineLevel="0" collapsed="false">
      <c r="A3" s="2" t="s">
        <v>573</v>
      </c>
      <c r="B3" s="5" t="s">
        <v>574</v>
      </c>
      <c r="C3" s="5" t="s">
        <v>119</v>
      </c>
      <c r="D3" s="5" t="s">
        <v>30</v>
      </c>
      <c r="E3" s="5" t="s">
        <v>123</v>
      </c>
      <c r="F3" s="2" t="s">
        <v>344</v>
      </c>
      <c r="G3" s="5" t="s">
        <v>436</v>
      </c>
      <c r="H3" s="5" t="s">
        <v>265</v>
      </c>
      <c r="I3" s="5" t="s">
        <v>346</v>
      </c>
      <c r="J3" s="5" t="s">
        <v>575</v>
      </c>
      <c r="K3" s="5" t="s">
        <v>576</v>
      </c>
      <c r="L3" s="5" t="s">
        <v>131</v>
      </c>
    </row>
    <row r="4" customFormat="false" ht="26.85" hidden="false" customHeight="false" outlineLevel="0" collapsed="false">
      <c r="A4" s="2" t="s">
        <v>577</v>
      </c>
      <c r="B4" s="5" t="s">
        <v>578</v>
      </c>
      <c r="C4" s="5" t="s">
        <v>119</v>
      </c>
      <c r="D4" s="5" t="s">
        <v>34</v>
      </c>
      <c r="E4" s="5" t="s">
        <v>123</v>
      </c>
      <c r="F4" s="2" t="s">
        <v>344</v>
      </c>
      <c r="G4" s="5" t="s">
        <v>579</v>
      </c>
      <c r="H4" s="5" t="s">
        <v>104</v>
      </c>
      <c r="I4" s="5" t="s">
        <v>346</v>
      </c>
      <c r="J4" s="5" t="s">
        <v>580</v>
      </c>
      <c r="K4" s="5" t="s">
        <v>581</v>
      </c>
      <c r="L4" s="5" t="s">
        <v>131</v>
      </c>
    </row>
    <row r="5" customFormat="false" ht="26.85" hidden="false" customHeight="false" outlineLevel="0" collapsed="false">
      <c r="A5" s="2" t="s">
        <v>582</v>
      </c>
      <c r="B5" s="5" t="s">
        <v>583</v>
      </c>
      <c r="C5" s="5" t="s">
        <v>119</v>
      </c>
      <c r="D5" s="5" t="s">
        <v>31</v>
      </c>
      <c r="E5" s="5" t="s">
        <v>123</v>
      </c>
      <c r="F5" s="2" t="s">
        <v>344</v>
      </c>
      <c r="G5" s="5" t="s">
        <v>584</v>
      </c>
      <c r="H5" s="5" t="s">
        <v>265</v>
      </c>
      <c r="I5" s="5" t="s">
        <v>346</v>
      </c>
      <c r="J5" s="5" t="s">
        <v>585</v>
      </c>
      <c r="K5" s="5" t="s">
        <v>586</v>
      </c>
      <c r="L5" s="5" t="s">
        <v>131</v>
      </c>
    </row>
    <row r="6" customFormat="false" ht="26.85" hidden="false" customHeight="false" outlineLevel="0" collapsed="false">
      <c r="A6" s="2" t="s">
        <v>587</v>
      </c>
      <c r="B6" s="5" t="s">
        <v>588</v>
      </c>
      <c r="C6" s="5" t="s">
        <v>119</v>
      </c>
      <c r="D6" s="5" t="s">
        <v>33</v>
      </c>
      <c r="E6" s="5" t="s">
        <v>123</v>
      </c>
      <c r="F6" s="2" t="s">
        <v>344</v>
      </c>
      <c r="G6" s="5" t="s">
        <v>436</v>
      </c>
      <c r="H6" s="5" t="s">
        <v>265</v>
      </c>
      <c r="I6" s="5" t="s">
        <v>368</v>
      </c>
      <c r="J6" s="5" t="s">
        <v>589</v>
      </c>
      <c r="K6" s="5" t="s">
        <v>590</v>
      </c>
      <c r="L6" s="5" t="s">
        <v>131</v>
      </c>
    </row>
    <row r="7" customFormat="false" ht="26.85" hidden="false" customHeight="false" outlineLevel="0" collapsed="false">
      <c r="A7" s="2" t="s">
        <v>591</v>
      </c>
      <c r="B7" s="5" t="s">
        <v>592</v>
      </c>
      <c r="C7" s="5" t="s">
        <v>119</v>
      </c>
      <c r="D7" s="5" t="s">
        <v>33</v>
      </c>
      <c r="E7" s="5" t="s">
        <v>123</v>
      </c>
      <c r="F7" s="2" t="s">
        <v>344</v>
      </c>
      <c r="G7" s="5" t="s">
        <v>584</v>
      </c>
      <c r="H7" s="5" t="s">
        <v>265</v>
      </c>
      <c r="I7" s="5" t="s">
        <v>368</v>
      </c>
      <c r="J7" s="5" t="s">
        <v>593</v>
      </c>
      <c r="K7" s="5" t="s">
        <v>594</v>
      </c>
      <c r="L7" s="5" t="s">
        <v>131</v>
      </c>
    </row>
    <row r="8" customFormat="false" ht="26.85" hidden="false" customHeight="false" outlineLevel="0" collapsed="false">
      <c r="A8" s="2" t="s">
        <v>595</v>
      </c>
      <c r="B8" s="5" t="s">
        <v>596</v>
      </c>
      <c r="C8" s="5" t="s">
        <v>119</v>
      </c>
      <c r="D8" s="5" t="s">
        <v>32</v>
      </c>
      <c r="E8" s="5" t="s">
        <v>123</v>
      </c>
      <c r="F8" s="2" t="s">
        <v>344</v>
      </c>
      <c r="G8" s="5" t="s">
        <v>597</v>
      </c>
      <c r="H8" s="5" t="s">
        <v>265</v>
      </c>
      <c r="I8" s="5" t="s">
        <v>346</v>
      </c>
      <c r="J8" s="5" t="s">
        <v>598</v>
      </c>
      <c r="K8" s="5" t="s">
        <v>599</v>
      </c>
      <c r="L8" s="5" t="s">
        <v>131</v>
      </c>
    </row>
    <row r="9" customFormat="false" ht="26.85" hidden="false" customHeight="false" outlineLevel="0" collapsed="false">
      <c r="A9" s="2" t="s">
        <v>600</v>
      </c>
      <c r="B9" s="5" t="s">
        <v>601</v>
      </c>
      <c r="C9" s="5" t="s">
        <v>119</v>
      </c>
      <c r="D9" s="5" t="s">
        <v>30</v>
      </c>
      <c r="E9" s="5" t="s">
        <v>123</v>
      </c>
      <c r="F9" s="2" t="s">
        <v>344</v>
      </c>
      <c r="G9" s="5" t="s">
        <v>345</v>
      </c>
      <c r="H9" s="5" t="s">
        <v>265</v>
      </c>
      <c r="I9" s="5" t="s">
        <v>346</v>
      </c>
      <c r="J9" s="5" t="s">
        <v>602</v>
      </c>
      <c r="K9" s="5" t="s">
        <v>603</v>
      </c>
      <c r="L9" s="5" t="s">
        <v>131</v>
      </c>
    </row>
    <row r="10" customFormat="false" ht="26.85" hidden="false" customHeight="false" outlineLevel="0" collapsed="false">
      <c r="A10" s="2" t="s">
        <v>604</v>
      </c>
      <c r="B10" s="5" t="s">
        <v>605</v>
      </c>
      <c r="C10" s="5" t="s">
        <v>119</v>
      </c>
      <c r="D10" s="5" t="s">
        <v>31</v>
      </c>
      <c r="E10" s="5" t="s">
        <v>123</v>
      </c>
      <c r="F10" s="2" t="s">
        <v>344</v>
      </c>
      <c r="G10" s="5" t="s">
        <v>373</v>
      </c>
      <c r="H10" s="5" t="s">
        <v>104</v>
      </c>
      <c r="I10" s="5" t="s">
        <v>346</v>
      </c>
      <c r="J10" s="5" t="s">
        <v>606</v>
      </c>
      <c r="K10" s="5" t="s">
        <v>607</v>
      </c>
      <c r="L10" s="5" t="s">
        <v>131</v>
      </c>
    </row>
    <row r="11" customFormat="false" ht="26.85" hidden="false" customHeight="false" outlineLevel="0" collapsed="false">
      <c r="A11" s="2" t="s">
        <v>608</v>
      </c>
      <c r="B11" s="5" t="s">
        <v>609</v>
      </c>
      <c r="C11" s="5" t="s">
        <v>119</v>
      </c>
      <c r="D11" s="5" t="s">
        <v>31</v>
      </c>
      <c r="E11" s="5" t="s">
        <v>123</v>
      </c>
      <c r="F11" s="2" t="s">
        <v>344</v>
      </c>
      <c r="G11" s="5" t="s">
        <v>345</v>
      </c>
      <c r="H11" s="5" t="s">
        <v>265</v>
      </c>
      <c r="I11" s="5" t="s">
        <v>346</v>
      </c>
      <c r="J11" s="5" t="s">
        <v>610</v>
      </c>
      <c r="K11" s="5" t="s">
        <v>611</v>
      </c>
      <c r="L11" s="5" t="s">
        <v>131</v>
      </c>
    </row>
    <row r="12" customFormat="false" ht="26.85" hidden="false" customHeight="false" outlineLevel="0" collapsed="false">
      <c r="A12" s="2" t="s">
        <v>612</v>
      </c>
      <c r="B12" s="5" t="s">
        <v>613</v>
      </c>
      <c r="C12" s="5" t="s">
        <v>119</v>
      </c>
      <c r="D12" s="5" t="s">
        <v>30</v>
      </c>
      <c r="E12" s="5" t="s">
        <v>123</v>
      </c>
      <c r="F12" s="2" t="s">
        <v>344</v>
      </c>
      <c r="G12" s="5" t="s">
        <v>373</v>
      </c>
      <c r="H12" s="5" t="s">
        <v>104</v>
      </c>
      <c r="I12" s="5" t="s">
        <v>346</v>
      </c>
      <c r="J12" s="5" t="s">
        <v>614</v>
      </c>
      <c r="K12" s="5" t="s">
        <v>615</v>
      </c>
      <c r="L12" s="5" t="s">
        <v>131</v>
      </c>
    </row>
    <row r="13" customFormat="false" ht="26.85" hidden="false" customHeight="false" outlineLevel="0" collapsed="false">
      <c r="A13" s="2" t="s">
        <v>616</v>
      </c>
      <c r="B13" s="5" t="s">
        <v>617</v>
      </c>
      <c r="C13" s="5" t="s">
        <v>119</v>
      </c>
      <c r="D13" s="5" t="s">
        <v>34</v>
      </c>
      <c r="E13" s="5" t="s">
        <v>123</v>
      </c>
      <c r="F13" s="2" t="s">
        <v>344</v>
      </c>
      <c r="G13" s="5" t="s">
        <v>345</v>
      </c>
      <c r="H13" s="5" t="s">
        <v>265</v>
      </c>
      <c r="I13" s="5" t="s">
        <v>346</v>
      </c>
      <c r="J13" s="5" t="s">
        <v>618</v>
      </c>
      <c r="K13" s="5" t="s">
        <v>619</v>
      </c>
      <c r="L13" s="5" t="s">
        <v>131</v>
      </c>
    </row>
    <row r="14" customFormat="false" ht="26.85" hidden="false" customHeight="false" outlineLevel="0" collapsed="false">
      <c r="A14" s="2" t="s">
        <v>620</v>
      </c>
      <c r="B14" s="5" t="s">
        <v>621</v>
      </c>
      <c r="C14" s="5" t="s">
        <v>119</v>
      </c>
      <c r="D14" s="5" t="s">
        <v>31</v>
      </c>
      <c r="E14" s="5" t="s">
        <v>123</v>
      </c>
      <c r="F14" s="2" t="s">
        <v>344</v>
      </c>
      <c r="G14" s="5" t="s">
        <v>436</v>
      </c>
      <c r="H14" s="5" t="s">
        <v>265</v>
      </c>
      <c r="I14" s="5" t="s">
        <v>346</v>
      </c>
      <c r="J14" s="5" t="s">
        <v>622</v>
      </c>
      <c r="K14" s="5" t="s">
        <v>623</v>
      </c>
      <c r="L14" s="5" t="s">
        <v>131</v>
      </c>
    </row>
    <row r="15" customFormat="false" ht="26.85" hidden="false" customHeight="false" outlineLevel="0" collapsed="false">
      <c r="A15" s="2" t="s">
        <v>624</v>
      </c>
      <c r="B15" s="5" t="s">
        <v>625</v>
      </c>
      <c r="C15" s="5" t="s">
        <v>411</v>
      </c>
      <c r="D15" s="5" t="s">
        <v>412</v>
      </c>
      <c r="E15" s="5" t="s">
        <v>413</v>
      </c>
      <c r="F15" s="2" t="s">
        <v>414</v>
      </c>
      <c r="G15" s="5" t="s">
        <v>265</v>
      </c>
      <c r="H15" s="5" t="s">
        <v>265</v>
      </c>
      <c r="I15" s="5" t="s">
        <v>346</v>
      </c>
      <c r="J15" s="5"/>
      <c r="K15" s="5" t="s">
        <v>415</v>
      </c>
      <c r="L15" s="5" t="s">
        <v>176</v>
      </c>
    </row>
    <row r="16" customFormat="false" ht="26.85" hidden="false" customHeight="false" outlineLevel="0" collapsed="false">
      <c r="A16" s="8" t="s">
        <v>626</v>
      </c>
      <c r="B16" s="9" t="s">
        <v>627</v>
      </c>
      <c r="C16" s="9" t="s">
        <v>255</v>
      </c>
      <c r="D16" s="9" t="s">
        <v>628</v>
      </c>
      <c r="E16" s="9" t="s">
        <v>413</v>
      </c>
      <c r="F16" s="8" t="s">
        <v>629</v>
      </c>
      <c r="G16" s="9" t="s">
        <v>190</v>
      </c>
      <c r="H16" s="9" t="s">
        <v>190</v>
      </c>
      <c r="I16" s="9" t="s">
        <v>488</v>
      </c>
      <c r="J16" s="9"/>
      <c r="K16" s="9" t="s">
        <v>263</v>
      </c>
      <c r="L16" s="9" t="s">
        <v>142</v>
      </c>
    </row>
    <row r="17" customFormat="false" ht="26.85" hidden="false" customHeight="false" outlineLevel="0" collapsed="false">
      <c r="A17" s="8" t="s">
        <v>630</v>
      </c>
      <c r="B17" s="9" t="s">
        <v>631</v>
      </c>
      <c r="C17" s="9" t="s">
        <v>255</v>
      </c>
      <c r="D17" s="9" t="s">
        <v>628</v>
      </c>
      <c r="E17" s="9" t="s">
        <v>413</v>
      </c>
      <c r="F17" s="8" t="s">
        <v>629</v>
      </c>
      <c r="G17" s="9" t="s">
        <v>190</v>
      </c>
      <c r="H17" s="9" t="s">
        <v>190</v>
      </c>
      <c r="I17" s="9" t="s">
        <v>488</v>
      </c>
      <c r="J17" s="9"/>
      <c r="K17" s="9" t="s">
        <v>632</v>
      </c>
      <c r="L17" s="9" t="s">
        <v>142</v>
      </c>
    </row>
    <row r="18" customFormat="false" ht="39.55" hidden="false" customHeight="false" outlineLevel="0" collapsed="false">
      <c r="A18" s="8" t="s">
        <v>633</v>
      </c>
      <c r="B18" s="9" t="s">
        <v>634</v>
      </c>
      <c r="C18" s="9" t="s">
        <v>317</v>
      </c>
      <c r="D18" s="9" t="s">
        <v>557</v>
      </c>
      <c r="E18" s="9" t="s">
        <v>558</v>
      </c>
      <c r="F18" s="8" t="s">
        <v>559</v>
      </c>
      <c r="G18" s="9" t="s">
        <v>155</v>
      </c>
      <c r="H18" s="9" t="s">
        <v>190</v>
      </c>
      <c r="I18" s="9" t="s">
        <v>488</v>
      </c>
      <c r="J18" s="9"/>
      <c r="K18" s="9" t="s">
        <v>325</v>
      </c>
      <c r="L18" s="9" t="s">
        <v>142</v>
      </c>
    </row>
    <row r="19" customFormat="false" ht="39.55" hidden="false" customHeight="false" outlineLevel="0" collapsed="false">
      <c r="A19" s="8" t="s">
        <v>635</v>
      </c>
      <c r="B19" s="9" t="s">
        <v>636</v>
      </c>
      <c r="C19" s="9" t="s">
        <v>317</v>
      </c>
      <c r="D19" s="9" t="s">
        <v>557</v>
      </c>
      <c r="E19" s="9" t="s">
        <v>558</v>
      </c>
      <c r="F19" s="8" t="s">
        <v>559</v>
      </c>
      <c r="G19" s="9" t="s">
        <v>637</v>
      </c>
      <c r="H19" s="9" t="s">
        <v>190</v>
      </c>
      <c r="I19" s="9" t="s">
        <v>488</v>
      </c>
      <c r="J19" s="9"/>
      <c r="K19" s="9" t="s">
        <v>325</v>
      </c>
      <c r="L19" s="9" t="s">
        <v>142</v>
      </c>
    </row>
    <row r="20" customFormat="false" ht="39.55" hidden="false" customHeight="false" outlineLevel="0" collapsed="false">
      <c r="A20" s="8" t="s">
        <v>638</v>
      </c>
      <c r="B20" s="9" t="s">
        <v>639</v>
      </c>
      <c r="C20" s="9" t="s">
        <v>177</v>
      </c>
      <c r="D20" s="9" t="s">
        <v>418</v>
      </c>
      <c r="E20" s="9" t="s">
        <v>640</v>
      </c>
      <c r="F20" s="8" t="s">
        <v>420</v>
      </c>
      <c r="G20" s="9" t="s">
        <v>155</v>
      </c>
      <c r="H20" s="9" t="s">
        <v>190</v>
      </c>
      <c r="I20" s="9" t="s">
        <v>488</v>
      </c>
      <c r="J20" s="9"/>
      <c r="K20" s="9" t="s">
        <v>187</v>
      </c>
      <c r="L20" s="9" t="s">
        <v>142</v>
      </c>
    </row>
    <row r="21" customFormat="false" ht="39.55" hidden="false" customHeight="false" outlineLevel="0" collapsed="false">
      <c r="A21" s="8" t="s">
        <v>641</v>
      </c>
      <c r="B21" s="9" t="s">
        <v>642</v>
      </c>
      <c r="C21" s="9" t="s">
        <v>177</v>
      </c>
      <c r="D21" s="9" t="s">
        <v>418</v>
      </c>
      <c r="E21" s="9" t="s">
        <v>643</v>
      </c>
      <c r="F21" s="8" t="s">
        <v>420</v>
      </c>
      <c r="G21" s="9" t="s">
        <v>155</v>
      </c>
      <c r="H21" s="9" t="s">
        <v>190</v>
      </c>
      <c r="I21" s="9" t="s">
        <v>488</v>
      </c>
      <c r="J21" s="9"/>
      <c r="K21" s="9" t="s">
        <v>187</v>
      </c>
      <c r="L21" s="9" t="s">
        <v>142</v>
      </c>
    </row>
    <row r="22" customFormat="false" ht="15" hidden="false" customHeight="false" outlineLevel="0" collapsed="false">
      <c r="A22" s="8" t="s">
        <v>644</v>
      </c>
      <c r="B22" s="9" t="s">
        <v>645</v>
      </c>
      <c r="C22" s="9" t="s">
        <v>246</v>
      </c>
      <c r="D22" s="9" t="s">
        <v>646</v>
      </c>
      <c r="E22" s="9" t="s">
        <v>248</v>
      </c>
      <c r="F22" s="8" t="s">
        <v>647</v>
      </c>
      <c r="G22" s="9" t="s">
        <v>648</v>
      </c>
      <c r="H22" s="9" t="s">
        <v>190</v>
      </c>
      <c r="I22" s="9" t="s">
        <v>488</v>
      </c>
      <c r="J22" s="9"/>
      <c r="K22" s="9" t="s">
        <v>254</v>
      </c>
      <c r="L22" s="9" t="s">
        <v>142</v>
      </c>
    </row>
    <row r="23" customFormat="false" ht="15" hidden="false" customHeight="false" outlineLevel="0" collapsed="false">
      <c r="A23" s="8" t="s">
        <v>649</v>
      </c>
      <c r="B23" s="9" t="s">
        <v>650</v>
      </c>
      <c r="C23" s="9" t="s">
        <v>246</v>
      </c>
      <c r="D23" s="9" t="s">
        <v>646</v>
      </c>
      <c r="E23" s="9" t="s">
        <v>248</v>
      </c>
      <c r="F23" s="8" t="s">
        <v>647</v>
      </c>
      <c r="G23" s="9" t="s">
        <v>648</v>
      </c>
      <c r="H23" s="9" t="s">
        <v>190</v>
      </c>
      <c r="I23" s="9" t="s">
        <v>488</v>
      </c>
      <c r="J23" s="9"/>
      <c r="K23" s="9" t="s">
        <v>254</v>
      </c>
      <c r="L23" s="9" t="s">
        <v>142</v>
      </c>
    </row>
    <row r="24" customFormat="false" ht="26.85" hidden="false" customHeight="false" outlineLevel="0" collapsed="false">
      <c r="A24" s="8" t="s">
        <v>651</v>
      </c>
      <c r="B24" s="9" t="s">
        <v>652</v>
      </c>
      <c r="C24" s="9" t="s">
        <v>246</v>
      </c>
      <c r="D24" s="9" t="s">
        <v>646</v>
      </c>
      <c r="E24" s="9" t="s">
        <v>248</v>
      </c>
      <c r="F24" s="8" t="s">
        <v>647</v>
      </c>
      <c r="G24" s="9" t="s">
        <v>648</v>
      </c>
      <c r="H24" s="9" t="s">
        <v>190</v>
      </c>
      <c r="I24" s="9" t="s">
        <v>488</v>
      </c>
      <c r="J24" s="9"/>
      <c r="K24" s="9" t="s">
        <v>254</v>
      </c>
      <c r="L24" s="9" t="s">
        <v>142</v>
      </c>
    </row>
    <row r="25" customFormat="false" ht="26.85" hidden="false" customHeight="false" outlineLevel="0" collapsed="false">
      <c r="A25" s="2" t="s">
        <v>653</v>
      </c>
      <c r="B25" s="5" t="s">
        <v>654</v>
      </c>
      <c r="C25" s="5" t="s">
        <v>132</v>
      </c>
      <c r="D25" s="5" t="s">
        <v>424</v>
      </c>
      <c r="E25" s="5" t="s">
        <v>425</v>
      </c>
      <c r="F25" s="2" t="s">
        <v>426</v>
      </c>
      <c r="G25" s="5" t="s">
        <v>427</v>
      </c>
      <c r="H25" s="5" t="s">
        <v>428</v>
      </c>
      <c r="I25" s="5" t="s">
        <v>346</v>
      </c>
      <c r="J25" s="5"/>
      <c r="K25" s="5" t="s">
        <v>429</v>
      </c>
      <c r="L25" s="5" t="s">
        <v>142</v>
      </c>
    </row>
    <row r="26" customFormat="false" ht="26.85" hidden="false" customHeight="false" outlineLevel="0" collapsed="false">
      <c r="A26" s="2" t="s">
        <v>655</v>
      </c>
      <c r="B26" s="5" t="s">
        <v>656</v>
      </c>
      <c r="C26" s="5" t="s">
        <v>132</v>
      </c>
      <c r="D26" s="5" t="s">
        <v>424</v>
      </c>
      <c r="E26" s="5" t="s">
        <v>425</v>
      </c>
      <c r="F26" s="2" t="s">
        <v>426</v>
      </c>
      <c r="G26" s="5" t="s">
        <v>427</v>
      </c>
      <c r="H26" s="5" t="s">
        <v>428</v>
      </c>
      <c r="I26" s="5" t="s">
        <v>346</v>
      </c>
      <c r="J26" s="5"/>
      <c r="K26" s="5" t="s">
        <v>429</v>
      </c>
      <c r="L26" s="5" t="s">
        <v>142</v>
      </c>
    </row>
    <row r="27" customFormat="false" ht="26.85" hidden="false" customHeight="false" outlineLevel="0" collapsed="false">
      <c r="A27" s="2" t="s">
        <v>657</v>
      </c>
      <c r="B27" s="5" t="s">
        <v>658</v>
      </c>
      <c r="C27" s="5" t="s">
        <v>132</v>
      </c>
      <c r="D27" s="5" t="s">
        <v>424</v>
      </c>
      <c r="E27" s="5" t="s">
        <v>425</v>
      </c>
      <c r="F27" s="2" t="s">
        <v>426</v>
      </c>
      <c r="G27" s="5" t="s">
        <v>427</v>
      </c>
      <c r="H27" s="5" t="s">
        <v>428</v>
      </c>
      <c r="I27" s="5" t="s">
        <v>346</v>
      </c>
      <c r="J27" s="5"/>
      <c r="K27" s="5" t="s">
        <v>429</v>
      </c>
      <c r="L27" s="5" t="s">
        <v>142</v>
      </c>
    </row>
  </sheetData>
  <autoFilter ref="A1:L27"/>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659</v>
      </c>
      <c r="B2" s="5" t="s">
        <v>660</v>
      </c>
      <c r="C2" s="5" t="s">
        <v>119</v>
      </c>
      <c r="D2" s="5" t="s">
        <v>33</v>
      </c>
      <c r="E2" s="5" t="s">
        <v>123</v>
      </c>
      <c r="F2" s="2" t="s">
        <v>344</v>
      </c>
      <c r="G2" s="5" t="s">
        <v>345</v>
      </c>
      <c r="H2" s="5" t="s">
        <v>265</v>
      </c>
      <c r="I2" s="5" t="s">
        <v>488</v>
      </c>
      <c r="J2" s="5" t="s">
        <v>661</v>
      </c>
      <c r="K2" s="5" t="s">
        <v>662</v>
      </c>
      <c r="L2" s="5" t="s">
        <v>131</v>
      </c>
    </row>
    <row r="3" customFormat="false" ht="26.85" hidden="false" customHeight="false" outlineLevel="0" collapsed="false">
      <c r="A3" s="2" t="s">
        <v>663</v>
      </c>
      <c r="B3" s="5" t="s">
        <v>664</v>
      </c>
      <c r="C3" s="5" t="s">
        <v>119</v>
      </c>
      <c r="D3" s="5" t="s">
        <v>33</v>
      </c>
      <c r="E3" s="5" t="s">
        <v>123</v>
      </c>
      <c r="F3" s="2" t="s">
        <v>344</v>
      </c>
      <c r="G3" s="5" t="s">
        <v>436</v>
      </c>
      <c r="H3" s="5" t="s">
        <v>265</v>
      </c>
      <c r="I3" s="5" t="s">
        <v>346</v>
      </c>
      <c r="J3" s="5" t="s">
        <v>665</v>
      </c>
      <c r="K3" s="5" t="s">
        <v>666</v>
      </c>
      <c r="L3" s="5" t="s">
        <v>131</v>
      </c>
    </row>
    <row r="4" customFormat="false" ht="26.85" hidden="false" customHeight="false" outlineLevel="0" collapsed="false">
      <c r="A4" s="2" t="s">
        <v>667</v>
      </c>
      <c r="B4" s="5" t="s">
        <v>668</v>
      </c>
      <c r="C4" s="5" t="s">
        <v>119</v>
      </c>
      <c r="D4" s="5" t="s">
        <v>32</v>
      </c>
      <c r="E4" s="5" t="s">
        <v>123</v>
      </c>
      <c r="F4" s="2" t="s">
        <v>344</v>
      </c>
      <c r="G4" s="5" t="s">
        <v>345</v>
      </c>
      <c r="H4" s="5" t="s">
        <v>265</v>
      </c>
      <c r="I4" s="5" t="s">
        <v>346</v>
      </c>
      <c r="J4" s="5" t="s">
        <v>669</v>
      </c>
      <c r="K4" s="5" t="s">
        <v>670</v>
      </c>
      <c r="L4" s="5" t="s">
        <v>131</v>
      </c>
    </row>
    <row r="5" customFormat="false" ht="26.85" hidden="false" customHeight="false" outlineLevel="0" collapsed="false">
      <c r="A5" s="2" t="s">
        <v>671</v>
      </c>
      <c r="B5" s="5" t="s">
        <v>672</v>
      </c>
      <c r="C5" s="5" t="s">
        <v>119</v>
      </c>
      <c r="D5" s="5" t="s">
        <v>33</v>
      </c>
      <c r="E5" s="5" t="s">
        <v>123</v>
      </c>
      <c r="F5" s="2" t="s">
        <v>344</v>
      </c>
      <c r="G5" s="5" t="s">
        <v>345</v>
      </c>
      <c r="H5" s="5" t="s">
        <v>265</v>
      </c>
      <c r="I5" s="5" t="s">
        <v>346</v>
      </c>
      <c r="J5" s="5" t="s">
        <v>673</v>
      </c>
      <c r="K5" s="5" t="s">
        <v>674</v>
      </c>
      <c r="L5" s="5" t="s">
        <v>131</v>
      </c>
    </row>
    <row r="6" customFormat="false" ht="26.85" hidden="false" customHeight="false" outlineLevel="0" collapsed="false">
      <c r="A6" s="2" t="s">
        <v>675</v>
      </c>
      <c r="B6" s="5" t="s">
        <v>676</v>
      </c>
      <c r="C6" s="5" t="s">
        <v>119</v>
      </c>
      <c r="D6" s="5" t="s">
        <v>33</v>
      </c>
      <c r="E6" s="5" t="s">
        <v>123</v>
      </c>
      <c r="F6" s="2" t="s">
        <v>344</v>
      </c>
      <c r="G6" s="5" t="s">
        <v>345</v>
      </c>
      <c r="H6" s="5" t="s">
        <v>265</v>
      </c>
      <c r="I6" s="5" t="s">
        <v>368</v>
      </c>
      <c r="J6" s="5" t="s">
        <v>677</v>
      </c>
      <c r="K6" s="5" t="s">
        <v>678</v>
      </c>
      <c r="L6" s="5" t="s">
        <v>131</v>
      </c>
    </row>
    <row r="7" customFormat="false" ht="26.85" hidden="false" customHeight="false" outlineLevel="0" collapsed="false">
      <c r="A7" s="2" t="s">
        <v>679</v>
      </c>
      <c r="B7" s="5" t="s">
        <v>680</v>
      </c>
      <c r="C7" s="5" t="s">
        <v>119</v>
      </c>
      <c r="D7" s="5" t="s">
        <v>30</v>
      </c>
      <c r="E7" s="5" t="s">
        <v>123</v>
      </c>
      <c r="F7" s="2" t="s">
        <v>344</v>
      </c>
      <c r="G7" s="5" t="s">
        <v>345</v>
      </c>
      <c r="H7" s="5" t="s">
        <v>265</v>
      </c>
      <c r="I7" s="5" t="s">
        <v>346</v>
      </c>
      <c r="J7" s="5" t="s">
        <v>681</v>
      </c>
      <c r="K7" s="5" t="s">
        <v>682</v>
      </c>
      <c r="L7" s="5" t="s">
        <v>131</v>
      </c>
    </row>
    <row r="8" customFormat="false" ht="26.85" hidden="false" customHeight="false" outlineLevel="0" collapsed="false">
      <c r="A8" s="2" t="s">
        <v>683</v>
      </c>
      <c r="B8" s="5" t="s">
        <v>684</v>
      </c>
      <c r="C8" s="5" t="s">
        <v>119</v>
      </c>
      <c r="D8" s="5" t="s">
        <v>30</v>
      </c>
      <c r="E8" s="5" t="s">
        <v>123</v>
      </c>
      <c r="F8" s="2" t="s">
        <v>344</v>
      </c>
      <c r="G8" s="5" t="s">
        <v>685</v>
      </c>
      <c r="H8" s="5" t="s">
        <v>104</v>
      </c>
      <c r="I8" s="5" t="s">
        <v>346</v>
      </c>
      <c r="J8" s="5" t="s">
        <v>686</v>
      </c>
      <c r="K8" s="5" t="s">
        <v>687</v>
      </c>
      <c r="L8" s="5" t="s">
        <v>131</v>
      </c>
    </row>
    <row r="9" customFormat="false" ht="26.85" hidden="false" customHeight="false" outlineLevel="0" collapsed="false">
      <c r="A9" s="2" t="s">
        <v>688</v>
      </c>
      <c r="B9" s="5" t="s">
        <v>689</v>
      </c>
      <c r="C9" s="5" t="s">
        <v>119</v>
      </c>
      <c r="D9" s="5" t="s">
        <v>32</v>
      </c>
      <c r="E9" s="5" t="s">
        <v>123</v>
      </c>
      <c r="F9" s="2" t="s">
        <v>344</v>
      </c>
      <c r="G9" s="5" t="s">
        <v>690</v>
      </c>
      <c r="H9" s="5" t="s">
        <v>104</v>
      </c>
      <c r="I9" s="5" t="s">
        <v>346</v>
      </c>
      <c r="J9" s="5" t="s">
        <v>691</v>
      </c>
      <c r="K9" s="5" t="s">
        <v>692</v>
      </c>
      <c r="L9" s="5" t="s">
        <v>131</v>
      </c>
    </row>
    <row r="10" customFormat="false" ht="26.85" hidden="false" customHeight="false" outlineLevel="0" collapsed="false">
      <c r="A10" s="8" t="s">
        <v>693</v>
      </c>
      <c r="B10" s="9" t="s">
        <v>694</v>
      </c>
      <c r="C10" s="9" t="s">
        <v>119</v>
      </c>
      <c r="D10" s="9" t="s">
        <v>30</v>
      </c>
      <c r="E10" s="9" t="s">
        <v>123</v>
      </c>
      <c r="F10" s="8" t="s">
        <v>344</v>
      </c>
      <c r="G10" s="9" t="s">
        <v>695</v>
      </c>
      <c r="H10" s="9" t="s">
        <v>190</v>
      </c>
      <c r="I10" s="9" t="s">
        <v>488</v>
      </c>
      <c r="J10" s="9" t="s">
        <v>696</v>
      </c>
      <c r="K10" s="9" t="s">
        <v>697</v>
      </c>
      <c r="L10" s="9" t="s">
        <v>131</v>
      </c>
    </row>
    <row r="11" customFormat="false" ht="26.85" hidden="false" customHeight="false" outlineLevel="0" collapsed="false">
      <c r="A11" s="2" t="s">
        <v>698</v>
      </c>
      <c r="B11" s="5" t="s">
        <v>699</v>
      </c>
      <c r="C11" s="5" t="s">
        <v>119</v>
      </c>
      <c r="D11" s="5" t="s">
        <v>33</v>
      </c>
      <c r="E11" s="5" t="s">
        <v>123</v>
      </c>
      <c r="F11" s="2" t="s">
        <v>344</v>
      </c>
      <c r="G11" s="5" t="s">
        <v>345</v>
      </c>
      <c r="H11" s="5" t="s">
        <v>265</v>
      </c>
      <c r="I11" s="5" t="s">
        <v>346</v>
      </c>
      <c r="J11" s="5" t="s">
        <v>700</v>
      </c>
      <c r="K11" s="5" t="s">
        <v>701</v>
      </c>
      <c r="L11" s="5" t="s">
        <v>131</v>
      </c>
    </row>
    <row r="12" customFormat="false" ht="26.85" hidden="false" customHeight="false" outlineLevel="0" collapsed="false">
      <c r="A12" s="2" t="s">
        <v>702</v>
      </c>
      <c r="B12" s="5" t="s">
        <v>703</v>
      </c>
      <c r="C12" s="5" t="s">
        <v>119</v>
      </c>
      <c r="D12" s="5" t="s">
        <v>32</v>
      </c>
      <c r="E12" s="5" t="s">
        <v>123</v>
      </c>
      <c r="F12" s="2" t="s">
        <v>344</v>
      </c>
      <c r="G12" s="5" t="s">
        <v>345</v>
      </c>
      <c r="H12" s="5" t="s">
        <v>265</v>
      </c>
      <c r="I12" s="5" t="s">
        <v>346</v>
      </c>
      <c r="J12" s="5" t="s">
        <v>704</v>
      </c>
      <c r="K12" s="5" t="s">
        <v>705</v>
      </c>
      <c r="L12" s="5" t="s">
        <v>131</v>
      </c>
    </row>
    <row r="13" customFormat="false" ht="26.85" hidden="false" customHeight="false" outlineLevel="0" collapsed="false">
      <c r="A13" s="2" t="s">
        <v>706</v>
      </c>
      <c r="B13" s="5" t="s">
        <v>707</v>
      </c>
      <c r="C13" s="5" t="s">
        <v>119</v>
      </c>
      <c r="D13" s="5" t="s">
        <v>32</v>
      </c>
      <c r="E13" s="5" t="s">
        <v>123</v>
      </c>
      <c r="F13" s="2" t="s">
        <v>344</v>
      </c>
      <c r="G13" s="5" t="s">
        <v>345</v>
      </c>
      <c r="H13" s="5" t="s">
        <v>265</v>
      </c>
      <c r="I13" s="5" t="s">
        <v>346</v>
      </c>
      <c r="J13" s="5" t="s">
        <v>708</v>
      </c>
      <c r="K13" s="5" t="s">
        <v>709</v>
      </c>
      <c r="L13" s="5" t="s">
        <v>131</v>
      </c>
    </row>
    <row r="14" customFormat="false" ht="26.85" hidden="false" customHeight="false" outlineLevel="0" collapsed="false">
      <c r="A14" s="2" t="s">
        <v>710</v>
      </c>
      <c r="B14" s="5" t="s">
        <v>711</v>
      </c>
      <c r="C14" s="5" t="s">
        <v>119</v>
      </c>
      <c r="D14" s="5" t="s">
        <v>33</v>
      </c>
      <c r="E14" s="5" t="s">
        <v>123</v>
      </c>
      <c r="F14" s="2" t="s">
        <v>344</v>
      </c>
      <c r="G14" s="5" t="s">
        <v>345</v>
      </c>
      <c r="H14" s="5" t="s">
        <v>265</v>
      </c>
      <c r="I14" s="5" t="s">
        <v>346</v>
      </c>
      <c r="J14" s="5" t="s">
        <v>712</v>
      </c>
      <c r="K14" s="5" t="s">
        <v>713</v>
      </c>
      <c r="L14" s="5" t="s">
        <v>131</v>
      </c>
    </row>
    <row r="15" customFormat="false" ht="39.55" hidden="false" customHeight="false" outlineLevel="0" collapsed="false">
      <c r="A15" s="2" t="s">
        <v>714</v>
      </c>
      <c r="B15" s="5" t="s">
        <v>715</v>
      </c>
      <c r="C15" s="5" t="s">
        <v>716</v>
      </c>
      <c r="D15" s="5" t="s">
        <v>717</v>
      </c>
      <c r="E15" s="5" t="s">
        <v>718</v>
      </c>
      <c r="F15" s="2" t="s">
        <v>719</v>
      </c>
      <c r="G15" s="5" t="s">
        <v>720</v>
      </c>
      <c r="H15" s="5" t="s">
        <v>428</v>
      </c>
      <c r="I15" s="5" t="s">
        <v>488</v>
      </c>
      <c r="J15" s="5"/>
      <c r="K15" s="5" t="s">
        <v>197</v>
      </c>
      <c r="L15" s="5" t="s">
        <v>142</v>
      </c>
    </row>
    <row r="16" customFormat="false" ht="26.85" hidden="false" customHeight="false" outlineLevel="0" collapsed="false">
      <c r="A16" s="2" t="s">
        <v>721</v>
      </c>
      <c r="B16" s="5" t="s">
        <v>722</v>
      </c>
      <c r="C16" s="5" t="s">
        <v>132</v>
      </c>
      <c r="D16" s="5" t="s">
        <v>424</v>
      </c>
      <c r="E16" s="5" t="s">
        <v>425</v>
      </c>
      <c r="F16" s="2" t="s">
        <v>426</v>
      </c>
      <c r="G16" s="5" t="s">
        <v>427</v>
      </c>
      <c r="H16" s="5" t="s">
        <v>428</v>
      </c>
      <c r="I16" s="5" t="s">
        <v>346</v>
      </c>
      <c r="J16" s="5"/>
      <c r="K16" s="5" t="s">
        <v>429</v>
      </c>
      <c r="L16" s="5" t="s">
        <v>142</v>
      </c>
    </row>
    <row r="17" customFormat="false" ht="26.85" hidden="false" customHeight="false" outlineLevel="0" collapsed="false">
      <c r="A17" s="2" t="s">
        <v>723</v>
      </c>
      <c r="B17" s="5" t="s">
        <v>724</v>
      </c>
      <c r="C17" s="5" t="s">
        <v>132</v>
      </c>
      <c r="D17" s="5" t="s">
        <v>424</v>
      </c>
      <c r="E17" s="5" t="s">
        <v>425</v>
      </c>
      <c r="F17" s="2" t="s">
        <v>426</v>
      </c>
      <c r="G17" s="5" t="s">
        <v>427</v>
      </c>
      <c r="H17" s="5" t="s">
        <v>428</v>
      </c>
      <c r="I17" s="5" t="s">
        <v>346</v>
      </c>
      <c r="J17" s="5"/>
      <c r="K17" s="5" t="s">
        <v>429</v>
      </c>
      <c r="L17" s="5" t="s">
        <v>142</v>
      </c>
    </row>
    <row r="18" customFormat="false" ht="26.85" hidden="false" customHeight="false" outlineLevel="0" collapsed="false">
      <c r="A18" s="2" t="s">
        <v>725</v>
      </c>
      <c r="B18" s="5" t="s">
        <v>726</v>
      </c>
      <c r="C18" s="5" t="s">
        <v>132</v>
      </c>
      <c r="D18" s="5" t="s">
        <v>424</v>
      </c>
      <c r="E18" s="5" t="s">
        <v>425</v>
      </c>
      <c r="F18" s="2" t="s">
        <v>426</v>
      </c>
      <c r="G18" s="5" t="s">
        <v>427</v>
      </c>
      <c r="H18" s="5" t="s">
        <v>428</v>
      </c>
      <c r="I18" s="5" t="s">
        <v>346</v>
      </c>
      <c r="J18" s="5"/>
      <c r="K18" s="5" t="s">
        <v>429</v>
      </c>
      <c r="L18" s="5" t="s">
        <v>142</v>
      </c>
    </row>
    <row r="19" customFormat="false" ht="26.85" hidden="false" customHeight="false" outlineLevel="0" collapsed="false">
      <c r="A19" s="2" t="s">
        <v>727</v>
      </c>
      <c r="B19" s="5" t="s">
        <v>728</v>
      </c>
      <c r="C19" s="5" t="s">
        <v>132</v>
      </c>
      <c r="D19" s="5" t="s">
        <v>424</v>
      </c>
      <c r="E19" s="5" t="s">
        <v>425</v>
      </c>
      <c r="F19" s="2" t="s">
        <v>426</v>
      </c>
      <c r="G19" s="5" t="s">
        <v>427</v>
      </c>
      <c r="H19" s="5" t="s">
        <v>428</v>
      </c>
      <c r="I19" s="5" t="s">
        <v>346</v>
      </c>
      <c r="J19" s="5"/>
      <c r="K19" s="5" t="s">
        <v>429</v>
      </c>
      <c r="L19" s="5" t="s">
        <v>142</v>
      </c>
    </row>
    <row r="20" customFormat="false" ht="26.85" hidden="false" customHeight="false" outlineLevel="0" collapsed="false">
      <c r="A20" s="2" t="s">
        <v>729</v>
      </c>
      <c r="B20" s="5" t="s">
        <v>730</v>
      </c>
      <c r="C20" s="5" t="s">
        <v>132</v>
      </c>
      <c r="D20" s="5" t="s">
        <v>424</v>
      </c>
      <c r="E20" s="5" t="s">
        <v>425</v>
      </c>
      <c r="F20" s="2" t="s">
        <v>426</v>
      </c>
      <c r="G20" s="5" t="s">
        <v>427</v>
      </c>
      <c r="H20" s="5" t="s">
        <v>428</v>
      </c>
      <c r="I20" s="5" t="s">
        <v>346</v>
      </c>
      <c r="J20" s="5"/>
      <c r="K20" s="5" t="s">
        <v>429</v>
      </c>
      <c r="L20" s="5" t="s">
        <v>142</v>
      </c>
    </row>
    <row r="21" customFormat="false" ht="26.85" hidden="false" customHeight="false" outlineLevel="0" collapsed="false">
      <c r="A21" s="2" t="s">
        <v>731</v>
      </c>
      <c r="B21" s="5" t="s">
        <v>732</v>
      </c>
      <c r="C21" s="5" t="s">
        <v>132</v>
      </c>
      <c r="D21" s="5" t="s">
        <v>424</v>
      </c>
      <c r="E21" s="5" t="s">
        <v>425</v>
      </c>
      <c r="F21" s="2" t="s">
        <v>426</v>
      </c>
      <c r="G21" s="5" t="s">
        <v>427</v>
      </c>
      <c r="H21" s="5" t="s">
        <v>428</v>
      </c>
      <c r="I21" s="5" t="s">
        <v>346</v>
      </c>
      <c r="J21" s="5"/>
      <c r="K21" s="5" t="s">
        <v>429</v>
      </c>
      <c r="L21" s="5" t="s">
        <v>142</v>
      </c>
    </row>
  </sheetData>
  <autoFilter ref="A1:L2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733</v>
      </c>
      <c r="B2" s="5" t="s">
        <v>734</v>
      </c>
      <c r="C2" s="5" t="s">
        <v>119</v>
      </c>
      <c r="D2" s="5" t="s">
        <v>32</v>
      </c>
      <c r="E2" s="5" t="s">
        <v>123</v>
      </c>
      <c r="F2" s="2" t="s">
        <v>344</v>
      </c>
      <c r="G2" s="5" t="s">
        <v>735</v>
      </c>
      <c r="H2" s="5" t="s">
        <v>104</v>
      </c>
      <c r="I2" s="5" t="s">
        <v>346</v>
      </c>
      <c r="J2" s="5" t="s">
        <v>736</v>
      </c>
      <c r="K2" s="5" t="s">
        <v>737</v>
      </c>
      <c r="L2" s="5" t="s">
        <v>131</v>
      </c>
    </row>
    <row r="3" customFormat="false" ht="26.85" hidden="false" customHeight="false" outlineLevel="0" collapsed="false">
      <c r="A3" s="2" t="s">
        <v>738</v>
      </c>
      <c r="B3" s="5" t="s">
        <v>739</v>
      </c>
      <c r="C3" s="5" t="s">
        <v>119</v>
      </c>
      <c r="D3" s="5" t="s">
        <v>31</v>
      </c>
      <c r="E3" s="5" t="s">
        <v>123</v>
      </c>
      <c r="F3" s="2" t="s">
        <v>344</v>
      </c>
      <c r="G3" s="5" t="s">
        <v>345</v>
      </c>
      <c r="H3" s="5" t="s">
        <v>265</v>
      </c>
      <c r="I3" s="5" t="s">
        <v>346</v>
      </c>
      <c r="J3" s="5" t="s">
        <v>740</v>
      </c>
      <c r="K3" s="5" t="s">
        <v>741</v>
      </c>
      <c r="L3" s="5" t="s">
        <v>131</v>
      </c>
    </row>
    <row r="4" customFormat="false" ht="26.85" hidden="false" customHeight="false" outlineLevel="0" collapsed="false">
      <c r="A4" s="2" t="s">
        <v>742</v>
      </c>
      <c r="B4" s="5" t="s">
        <v>743</v>
      </c>
      <c r="C4" s="5" t="s">
        <v>119</v>
      </c>
      <c r="D4" s="5" t="s">
        <v>34</v>
      </c>
      <c r="E4" s="5" t="s">
        <v>123</v>
      </c>
      <c r="F4" s="2" t="s">
        <v>344</v>
      </c>
      <c r="G4" s="5" t="s">
        <v>345</v>
      </c>
      <c r="H4" s="5" t="s">
        <v>265</v>
      </c>
      <c r="I4" s="5" t="s">
        <v>346</v>
      </c>
      <c r="J4" s="5" t="s">
        <v>744</v>
      </c>
      <c r="K4" s="5" t="s">
        <v>745</v>
      </c>
      <c r="L4" s="5" t="s">
        <v>131</v>
      </c>
    </row>
    <row r="5" customFormat="false" ht="26.85" hidden="false" customHeight="false" outlineLevel="0" collapsed="false">
      <c r="A5" s="2" t="s">
        <v>746</v>
      </c>
      <c r="B5" s="5" t="s">
        <v>747</v>
      </c>
      <c r="C5" s="5" t="s">
        <v>119</v>
      </c>
      <c r="D5" s="5" t="s">
        <v>31</v>
      </c>
      <c r="E5" s="5" t="s">
        <v>123</v>
      </c>
      <c r="F5" s="2" t="s">
        <v>344</v>
      </c>
      <c r="G5" s="5" t="s">
        <v>345</v>
      </c>
      <c r="H5" s="5" t="s">
        <v>265</v>
      </c>
      <c r="I5" s="5" t="s">
        <v>346</v>
      </c>
      <c r="J5" s="5" t="s">
        <v>748</v>
      </c>
      <c r="K5" s="5" t="s">
        <v>749</v>
      </c>
      <c r="L5" s="5" t="s">
        <v>131</v>
      </c>
    </row>
    <row r="6" customFormat="false" ht="26.85" hidden="false" customHeight="false" outlineLevel="0" collapsed="false">
      <c r="A6" s="2" t="s">
        <v>750</v>
      </c>
      <c r="B6" s="5" t="s">
        <v>751</v>
      </c>
      <c r="C6" s="5" t="s">
        <v>119</v>
      </c>
      <c r="D6" s="5" t="s">
        <v>32</v>
      </c>
      <c r="E6" s="5" t="s">
        <v>123</v>
      </c>
      <c r="F6" s="2" t="s">
        <v>344</v>
      </c>
      <c r="G6" s="5" t="s">
        <v>436</v>
      </c>
      <c r="H6" s="5" t="s">
        <v>265</v>
      </c>
      <c r="I6" s="5" t="s">
        <v>346</v>
      </c>
      <c r="J6" s="5" t="s">
        <v>752</v>
      </c>
      <c r="K6" s="5" t="s">
        <v>753</v>
      </c>
      <c r="L6" s="5" t="s">
        <v>131</v>
      </c>
    </row>
    <row r="7" customFormat="false" ht="26.85" hidden="false" customHeight="false" outlineLevel="0" collapsed="false">
      <c r="A7" s="2" t="s">
        <v>754</v>
      </c>
      <c r="B7" s="5" t="s">
        <v>755</v>
      </c>
      <c r="C7" s="5" t="s">
        <v>119</v>
      </c>
      <c r="D7" s="5" t="s">
        <v>30</v>
      </c>
      <c r="E7" s="5" t="s">
        <v>123</v>
      </c>
      <c r="F7" s="2" t="s">
        <v>344</v>
      </c>
      <c r="G7" s="5" t="s">
        <v>345</v>
      </c>
      <c r="H7" s="5" t="s">
        <v>265</v>
      </c>
      <c r="I7" s="5" t="s">
        <v>346</v>
      </c>
      <c r="J7" s="5" t="s">
        <v>756</v>
      </c>
      <c r="K7" s="5" t="s">
        <v>757</v>
      </c>
      <c r="L7" s="5" t="s">
        <v>131</v>
      </c>
    </row>
    <row r="8" customFormat="false" ht="26.85" hidden="false" customHeight="false" outlineLevel="0" collapsed="false">
      <c r="A8" s="2" t="s">
        <v>758</v>
      </c>
      <c r="B8" s="5" t="s">
        <v>759</v>
      </c>
      <c r="C8" s="5" t="s">
        <v>119</v>
      </c>
      <c r="D8" s="5" t="s">
        <v>34</v>
      </c>
      <c r="E8" s="5" t="s">
        <v>123</v>
      </c>
      <c r="F8" s="2" t="s">
        <v>344</v>
      </c>
      <c r="G8" s="5" t="s">
        <v>760</v>
      </c>
      <c r="H8" s="5" t="s">
        <v>265</v>
      </c>
      <c r="I8" s="5" t="s">
        <v>346</v>
      </c>
      <c r="J8" s="5" t="s">
        <v>761</v>
      </c>
      <c r="K8" s="5" t="s">
        <v>762</v>
      </c>
      <c r="L8" s="5" t="s">
        <v>131</v>
      </c>
    </row>
    <row r="9" customFormat="false" ht="26.85" hidden="false" customHeight="false" outlineLevel="0" collapsed="false">
      <c r="A9" s="2" t="s">
        <v>763</v>
      </c>
      <c r="B9" s="5" t="s">
        <v>764</v>
      </c>
      <c r="C9" s="5" t="s">
        <v>119</v>
      </c>
      <c r="D9" s="5" t="s">
        <v>32</v>
      </c>
      <c r="E9" s="5" t="s">
        <v>765</v>
      </c>
      <c r="F9" s="2" t="s">
        <v>766</v>
      </c>
      <c r="G9" s="5" t="s">
        <v>345</v>
      </c>
      <c r="H9" s="5" t="s">
        <v>265</v>
      </c>
      <c r="I9" s="5" t="s">
        <v>346</v>
      </c>
      <c r="J9" s="5" t="s">
        <v>767</v>
      </c>
      <c r="K9" s="5" t="s">
        <v>768</v>
      </c>
      <c r="L9" s="5" t="s">
        <v>131</v>
      </c>
    </row>
    <row r="10" customFormat="false" ht="26.85" hidden="false" customHeight="false" outlineLevel="0" collapsed="false">
      <c r="A10" s="2" t="s">
        <v>769</v>
      </c>
      <c r="B10" s="5" t="s">
        <v>770</v>
      </c>
      <c r="C10" s="5" t="s">
        <v>119</v>
      </c>
      <c r="D10" s="5" t="s">
        <v>31</v>
      </c>
      <c r="E10" s="5" t="s">
        <v>123</v>
      </c>
      <c r="F10" s="2" t="s">
        <v>344</v>
      </c>
      <c r="G10" s="5" t="s">
        <v>345</v>
      </c>
      <c r="H10" s="5" t="s">
        <v>265</v>
      </c>
      <c r="I10" s="5" t="s">
        <v>346</v>
      </c>
      <c r="J10" s="5" t="s">
        <v>771</v>
      </c>
      <c r="K10" s="5" t="s">
        <v>772</v>
      </c>
      <c r="L10" s="5" t="s">
        <v>131</v>
      </c>
    </row>
    <row r="11" customFormat="false" ht="26.85" hidden="false" customHeight="false" outlineLevel="0" collapsed="false">
      <c r="A11" s="2" t="s">
        <v>773</v>
      </c>
      <c r="B11" s="5" t="s">
        <v>774</v>
      </c>
      <c r="C11" s="5" t="s">
        <v>119</v>
      </c>
      <c r="D11" s="5" t="s">
        <v>33</v>
      </c>
      <c r="E11" s="5" t="s">
        <v>123</v>
      </c>
      <c r="F11" s="2" t="s">
        <v>344</v>
      </c>
      <c r="G11" s="5" t="s">
        <v>775</v>
      </c>
      <c r="H11" s="5" t="s">
        <v>265</v>
      </c>
      <c r="I11" s="5" t="s">
        <v>346</v>
      </c>
      <c r="J11" s="5" t="s">
        <v>776</v>
      </c>
      <c r="K11" s="5" t="s">
        <v>777</v>
      </c>
      <c r="L11" s="5" t="s">
        <v>131</v>
      </c>
    </row>
    <row r="12" customFormat="false" ht="26.85" hidden="false" customHeight="false" outlineLevel="0" collapsed="false">
      <c r="A12" s="2" t="s">
        <v>778</v>
      </c>
      <c r="B12" s="5" t="s">
        <v>779</v>
      </c>
      <c r="C12" s="5" t="s">
        <v>119</v>
      </c>
      <c r="D12" s="5" t="s">
        <v>30</v>
      </c>
      <c r="E12" s="5" t="s">
        <v>123</v>
      </c>
      <c r="F12" s="2" t="s">
        <v>344</v>
      </c>
      <c r="G12" s="5" t="s">
        <v>345</v>
      </c>
      <c r="H12" s="5" t="s">
        <v>265</v>
      </c>
      <c r="I12" s="5" t="s">
        <v>346</v>
      </c>
      <c r="J12" s="5" t="s">
        <v>780</v>
      </c>
      <c r="K12" s="5" t="s">
        <v>781</v>
      </c>
      <c r="L12" s="5" t="s">
        <v>131</v>
      </c>
    </row>
    <row r="13" customFormat="false" ht="39.55" hidden="false" customHeight="false" outlineLevel="0" collapsed="false">
      <c r="A13" s="2" t="s">
        <v>782</v>
      </c>
      <c r="B13" s="5" t="s">
        <v>783</v>
      </c>
      <c r="C13" s="5" t="s">
        <v>177</v>
      </c>
      <c r="D13" s="5" t="s">
        <v>418</v>
      </c>
      <c r="E13" s="5" t="s">
        <v>123</v>
      </c>
      <c r="F13" s="2" t="s">
        <v>420</v>
      </c>
      <c r="G13" s="5" t="s">
        <v>421</v>
      </c>
      <c r="H13" s="5" t="s">
        <v>104</v>
      </c>
      <c r="I13" s="5" t="s">
        <v>346</v>
      </c>
      <c r="J13" s="5"/>
      <c r="K13" s="5" t="s">
        <v>187</v>
      </c>
      <c r="L13" s="5" t="s">
        <v>142</v>
      </c>
    </row>
    <row r="14" customFormat="false" ht="26.85" hidden="false" customHeight="false" outlineLevel="0" collapsed="false">
      <c r="A14" s="2" t="s">
        <v>784</v>
      </c>
      <c r="B14" s="5" t="s">
        <v>785</v>
      </c>
      <c r="C14" s="5" t="s">
        <v>132</v>
      </c>
      <c r="D14" s="5" t="s">
        <v>424</v>
      </c>
      <c r="E14" s="5" t="s">
        <v>425</v>
      </c>
      <c r="F14" s="2" t="s">
        <v>426</v>
      </c>
      <c r="G14" s="5" t="s">
        <v>427</v>
      </c>
      <c r="H14" s="5" t="s">
        <v>428</v>
      </c>
      <c r="I14" s="5" t="s">
        <v>346</v>
      </c>
      <c r="J14" s="5"/>
      <c r="K14" s="5" t="s">
        <v>429</v>
      </c>
      <c r="L14" s="5" t="s">
        <v>142</v>
      </c>
    </row>
    <row r="15" customFormat="false" ht="26.85" hidden="false" customHeight="false" outlineLevel="0" collapsed="false">
      <c r="A15" s="2" t="s">
        <v>786</v>
      </c>
      <c r="B15" s="5" t="s">
        <v>787</v>
      </c>
      <c r="C15" s="5" t="s">
        <v>132</v>
      </c>
      <c r="D15" s="5" t="s">
        <v>424</v>
      </c>
      <c r="E15" s="5" t="s">
        <v>425</v>
      </c>
      <c r="F15" s="2" t="s">
        <v>426</v>
      </c>
      <c r="G15" s="5" t="s">
        <v>427</v>
      </c>
      <c r="H15" s="5" t="s">
        <v>428</v>
      </c>
      <c r="I15" s="5" t="s">
        <v>346</v>
      </c>
      <c r="J15" s="5"/>
      <c r="K15" s="5" t="s">
        <v>429</v>
      </c>
      <c r="L15" s="5" t="s">
        <v>142</v>
      </c>
    </row>
    <row r="16" customFormat="false" ht="26.85" hidden="false" customHeight="false" outlineLevel="0" collapsed="false">
      <c r="A16" s="2" t="s">
        <v>788</v>
      </c>
      <c r="B16" s="5" t="s">
        <v>789</v>
      </c>
      <c r="C16" s="5" t="s">
        <v>132</v>
      </c>
      <c r="D16" s="5" t="s">
        <v>424</v>
      </c>
      <c r="E16" s="5" t="s">
        <v>425</v>
      </c>
      <c r="F16" s="2" t="s">
        <v>426</v>
      </c>
      <c r="G16" s="5" t="s">
        <v>427</v>
      </c>
      <c r="H16" s="5" t="s">
        <v>428</v>
      </c>
      <c r="I16" s="5" t="s">
        <v>346</v>
      </c>
      <c r="J16" s="5"/>
      <c r="K16" s="5" t="s">
        <v>429</v>
      </c>
      <c r="L16" s="5" t="s">
        <v>142</v>
      </c>
    </row>
    <row r="17" customFormat="false" ht="26.85" hidden="false" customHeight="false" outlineLevel="0" collapsed="false">
      <c r="A17" s="2" t="s">
        <v>790</v>
      </c>
      <c r="B17" s="5" t="s">
        <v>791</v>
      </c>
      <c r="C17" s="5" t="s">
        <v>132</v>
      </c>
      <c r="D17" s="5" t="s">
        <v>424</v>
      </c>
      <c r="E17" s="5" t="s">
        <v>425</v>
      </c>
      <c r="F17" s="2" t="s">
        <v>426</v>
      </c>
      <c r="G17" s="5" t="s">
        <v>427</v>
      </c>
      <c r="H17" s="5" t="s">
        <v>428</v>
      </c>
      <c r="I17" s="5" t="s">
        <v>346</v>
      </c>
      <c r="J17" s="5"/>
      <c r="K17" s="5" t="s">
        <v>429</v>
      </c>
      <c r="L17" s="5" t="s">
        <v>142</v>
      </c>
    </row>
    <row r="18" customFormat="false" ht="26.85" hidden="false" customHeight="false" outlineLevel="0" collapsed="false">
      <c r="A18" s="2" t="s">
        <v>792</v>
      </c>
      <c r="B18" s="5" t="s">
        <v>793</v>
      </c>
      <c r="C18" s="5" t="s">
        <v>132</v>
      </c>
      <c r="D18" s="5" t="s">
        <v>424</v>
      </c>
      <c r="E18" s="5" t="s">
        <v>425</v>
      </c>
      <c r="F18" s="2" t="s">
        <v>426</v>
      </c>
      <c r="G18" s="5" t="s">
        <v>427</v>
      </c>
      <c r="H18" s="5" t="s">
        <v>428</v>
      </c>
      <c r="I18" s="5" t="s">
        <v>346</v>
      </c>
      <c r="J18" s="5"/>
      <c r="K18" s="5" t="s">
        <v>429</v>
      </c>
      <c r="L18" s="5" t="s">
        <v>142</v>
      </c>
    </row>
    <row r="19" customFormat="false" ht="26.85" hidden="false" customHeight="false" outlineLevel="0" collapsed="false">
      <c r="A19" s="2" t="s">
        <v>794</v>
      </c>
      <c r="B19" s="5" t="s">
        <v>795</v>
      </c>
      <c r="C19" s="5" t="s">
        <v>132</v>
      </c>
      <c r="D19" s="5" t="s">
        <v>424</v>
      </c>
      <c r="E19" s="5" t="s">
        <v>425</v>
      </c>
      <c r="F19" s="2" t="s">
        <v>426</v>
      </c>
      <c r="G19" s="5" t="s">
        <v>427</v>
      </c>
      <c r="H19" s="5" t="s">
        <v>428</v>
      </c>
      <c r="I19" s="5" t="s">
        <v>346</v>
      </c>
      <c r="J19" s="5"/>
      <c r="K19" s="5" t="s">
        <v>429</v>
      </c>
      <c r="L19" s="5" t="s">
        <v>142</v>
      </c>
    </row>
    <row r="20" customFormat="false" ht="26.85" hidden="false" customHeight="false" outlineLevel="0" collapsed="false">
      <c r="A20" s="2" t="s">
        <v>796</v>
      </c>
      <c r="B20" s="5" t="s">
        <v>797</v>
      </c>
      <c r="C20" s="5" t="s">
        <v>132</v>
      </c>
      <c r="D20" s="5" t="s">
        <v>424</v>
      </c>
      <c r="E20" s="5" t="s">
        <v>425</v>
      </c>
      <c r="F20" s="2" t="s">
        <v>426</v>
      </c>
      <c r="G20" s="5" t="s">
        <v>427</v>
      </c>
      <c r="H20" s="5" t="s">
        <v>428</v>
      </c>
      <c r="I20" s="5" t="s">
        <v>346</v>
      </c>
      <c r="J20" s="5"/>
      <c r="K20" s="5" t="s">
        <v>429</v>
      </c>
      <c r="L20" s="5" t="s">
        <v>142</v>
      </c>
    </row>
    <row r="21" customFormat="false" ht="26.85" hidden="false" customHeight="false" outlineLevel="0" collapsed="false">
      <c r="A21" s="2" t="s">
        <v>798</v>
      </c>
      <c r="B21" s="5" t="s">
        <v>799</v>
      </c>
      <c r="C21" s="5" t="s">
        <v>132</v>
      </c>
      <c r="D21" s="5" t="s">
        <v>424</v>
      </c>
      <c r="E21" s="5" t="s">
        <v>425</v>
      </c>
      <c r="F21" s="2" t="s">
        <v>426</v>
      </c>
      <c r="G21" s="5" t="s">
        <v>427</v>
      </c>
      <c r="H21" s="5" t="s">
        <v>428</v>
      </c>
      <c r="I21" s="5" t="s">
        <v>346</v>
      </c>
      <c r="J21" s="5"/>
      <c r="K21" s="5" t="s">
        <v>429</v>
      </c>
      <c r="L21" s="5" t="s">
        <v>142</v>
      </c>
    </row>
  </sheetData>
  <autoFilter ref="A1:L2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800</v>
      </c>
      <c r="B2" s="5" t="s">
        <v>801</v>
      </c>
      <c r="C2" s="5" t="s">
        <v>119</v>
      </c>
      <c r="D2" s="5" t="s">
        <v>32</v>
      </c>
      <c r="E2" s="5" t="s">
        <v>123</v>
      </c>
      <c r="F2" s="2" t="s">
        <v>344</v>
      </c>
      <c r="G2" s="5" t="s">
        <v>345</v>
      </c>
      <c r="H2" s="5" t="s">
        <v>265</v>
      </c>
      <c r="I2" s="5" t="s">
        <v>346</v>
      </c>
      <c r="J2" s="5" t="s">
        <v>802</v>
      </c>
      <c r="K2" s="5" t="s">
        <v>803</v>
      </c>
      <c r="L2" s="5" t="s">
        <v>131</v>
      </c>
    </row>
    <row r="3" customFormat="false" ht="26.85" hidden="false" customHeight="false" outlineLevel="0" collapsed="false">
      <c r="A3" s="2" t="s">
        <v>804</v>
      </c>
      <c r="B3" s="5" t="s">
        <v>805</v>
      </c>
      <c r="C3" s="5" t="s">
        <v>119</v>
      </c>
      <c r="D3" s="5" t="s">
        <v>33</v>
      </c>
      <c r="E3" s="5" t="s">
        <v>123</v>
      </c>
      <c r="F3" s="2" t="s">
        <v>344</v>
      </c>
      <c r="G3" s="5" t="s">
        <v>345</v>
      </c>
      <c r="H3" s="5" t="s">
        <v>265</v>
      </c>
      <c r="I3" s="5" t="s">
        <v>368</v>
      </c>
      <c r="J3" s="5" t="s">
        <v>806</v>
      </c>
      <c r="K3" s="5" t="s">
        <v>807</v>
      </c>
      <c r="L3" s="5" t="s">
        <v>131</v>
      </c>
    </row>
    <row r="4" customFormat="false" ht="26.85" hidden="false" customHeight="false" outlineLevel="0" collapsed="false">
      <c r="A4" s="2" t="s">
        <v>808</v>
      </c>
      <c r="B4" s="5" t="s">
        <v>809</v>
      </c>
      <c r="C4" s="5" t="s">
        <v>119</v>
      </c>
      <c r="D4" s="5" t="s">
        <v>32</v>
      </c>
      <c r="E4" s="5" t="s">
        <v>123</v>
      </c>
      <c r="F4" s="2" t="s">
        <v>344</v>
      </c>
      <c r="G4" s="5" t="s">
        <v>445</v>
      </c>
      <c r="H4" s="5" t="s">
        <v>104</v>
      </c>
      <c r="I4" s="5" t="s">
        <v>346</v>
      </c>
      <c r="J4" s="5" t="s">
        <v>810</v>
      </c>
      <c r="K4" s="5" t="s">
        <v>811</v>
      </c>
      <c r="L4" s="5" t="s">
        <v>131</v>
      </c>
    </row>
    <row r="5" customFormat="false" ht="26.85" hidden="false" customHeight="false" outlineLevel="0" collapsed="false">
      <c r="A5" s="2" t="s">
        <v>812</v>
      </c>
      <c r="B5" s="5" t="s">
        <v>813</v>
      </c>
      <c r="C5" s="5" t="s">
        <v>119</v>
      </c>
      <c r="D5" s="5" t="s">
        <v>30</v>
      </c>
      <c r="E5" s="5" t="s">
        <v>123</v>
      </c>
      <c r="F5" s="2" t="s">
        <v>344</v>
      </c>
      <c r="G5" s="5" t="s">
        <v>345</v>
      </c>
      <c r="H5" s="5" t="s">
        <v>265</v>
      </c>
      <c r="I5" s="5" t="s">
        <v>346</v>
      </c>
      <c r="J5" s="5" t="s">
        <v>814</v>
      </c>
      <c r="K5" s="5" t="s">
        <v>815</v>
      </c>
      <c r="L5" s="5" t="s">
        <v>131</v>
      </c>
    </row>
    <row r="6" customFormat="false" ht="26.85" hidden="false" customHeight="false" outlineLevel="0" collapsed="false">
      <c r="A6" s="2" t="s">
        <v>816</v>
      </c>
      <c r="B6" s="5" t="s">
        <v>817</v>
      </c>
      <c r="C6" s="5" t="s">
        <v>119</v>
      </c>
      <c r="D6" s="5" t="s">
        <v>32</v>
      </c>
      <c r="E6" s="5" t="s">
        <v>123</v>
      </c>
      <c r="F6" s="2" t="s">
        <v>344</v>
      </c>
      <c r="G6" s="5" t="s">
        <v>345</v>
      </c>
      <c r="H6" s="5" t="s">
        <v>265</v>
      </c>
      <c r="I6" s="5" t="s">
        <v>346</v>
      </c>
      <c r="J6" s="5" t="s">
        <v>818</v>
      </c>
      <c r="K6" s="5" t="s">
        <v>819</v>
      </c>
      <c r="L6" s="5" t="s">
        <v>131</v>
      </c>
    </row>
    <row r="7" customFormat="false" ht="26.85" hidden="false" customHeight="false" outlineLevel="0" collapsed="false">
      <c r="A7" s="2" t="s">
        <v>820</v>
      </c>
      <c r="B7" s="5" t="s">
        <v>821</v>
      </c>
      <c r="C7" s="5" t="s">
        <v>119</v>
      </c>
      <c r="D7" s="5" t="s">
        <v>33</v>
      </c>
      <c r="E7" s="5" t="s">
        <v>123</v>
      </c>
      <c r="F7" s="2" t="s">
        <v>344</v>
      </c>
      <c r="G7" s="5" t="s">
        <v>345</v>
      </c>
      <c r="H7" s="5" t="s">
        <v>265</v>
      </c>
      <c r="I7" s="5" t="s">
        <v>368</v>
      </c>
      <c r="J7" s="5" t="s">
        <v>822</v>
      </c>
      <c r="K7" s="5" t="s">
        <v>823</v>
      </c>
      <c r="L7" s="5" t="s">
        <v>131</v>
      </c>
    </row>
    <row r="8" customFormat="false" ht="39.55" hidden="false" customHeight="false" outlineLevel="0" collapsed="false">
      <c r="A8" s="8" t="s">
        <v>824</v>
      </c>
      <c r="B8" s="9" t="s">
        <v>825</v>
      </c>
      <c r="C8" s="9" t="s">
        <v>177</v>
      </c>
      <c r="D8" s="9" t="s">
        <v>418</v>
      </c>
      <c r="E8" s="9" t="s">
        <v>413</v>
      </c>
      <c r="F8" s="8" t="s">
        <v>420</v>
      </c>
      <c r="G8" s="9" t="s">
        <v>155</v>
      </c>
      <c r="H8" s="9" t="s">
        <v>190</v>
      </c>
      <c r="I8" s="9" t="s">
        <v>488</v>
      </c>
      <c r="J8" s="9"/>
      <c r="K8" s="9" t="s">
        <v>187</v>
      </c>
      <c r="L8" s="9" t="s">
        <v>142</v>
      </c>
    </row>
    <row r="9" customFormat="false" ht="15" hidden="false" customHeight="false" outlineLevel="0" collapsed="false">
      <c r="A9" s="2" t="s">
        <v>826</v>
      </c>
      <c r="B9" s="5" t="s">
        <v>827</v>
      </c>
      <c r="C9" s="5" t="s">
        <v>264</v>
      </c>
      <c r="D9" s="5" t="s">
        <v>828</v>
      </c>
      <c r="E9" s="5" t="s">
        <v>302</v>
      </c>
      <c r="F9" s="2" t="s">
        <v>829</v>
      </c>
      <c r="G9" s="5" t="s">
        <v>830</v>
      </c>
      <c r="H9" s="5" t="s">
        <v>428</v>
      </c>
      <c r="I9" s="5" t="s">
        <v>488</v>
      </c>
      <c r="J9" s="5"/>
      <c r="K9" s="5" t="s">
        <v>273</v>
      </c>
      <c r="L9" s="5" t="s">
        <v>142</v>
      </c>
    </row>
  </sheetData>
  <autoFilter ref="A1:L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831</v>
      </c>
      <c r="B2" s="5" t="s">
        <v>832</v>
      </c>
      <c r="C2" s="5" t="s">
        <v>119</v>
      </c>
      <c r="D2" s="5" t="s">
        <v>33</v>
      </c>
      <c r="E2" s="5" t="s">
        <v>123</v>
      </c>
      <c r="F2" s="2" t="s">
        <v>344</v>
      </c>
      <c r="G2" s="5" t="s">
        <v>345</v>
      </c>
      <c r="H2" s="5" t="s">
        <v>265</v>
      </c>
      <c r="I2" s="5" t="s">
        <v>346</v>
      </c>
      <c r="J2" s="5" t="s">
        <v>833</v>
      </c>
      <c r="K2" s="5" t="s">
        <v>834</v>
      </c>
      <c r="L2" s="5" t="s">
        <v>131</v>
      </c>
    </row>
    <row r="3" customFormat="false" ht="26.85" hidden="false" customHeight="false" outlineLevel="0" collapsed="false">
      <c r="A3" s="2" t="s">
        <v>835</v>
      </c>
      <c r="B3" s="5" t="s">
        <v>836</v>
      </c>
      <c r="C3" s="5" t="s">
        <v>119</v>
      </c>
      <c r="D3" s="5" t="s">
        <v>32</v>
      </c>
      <c r="E3" s="5" t="s">
        <v>123</v>
      </c>
      <c r="F3" s="2" t="s">
        <v>344</v>
      </c>
      <c r="G3" s="5" t="s">
        <v>837</v>
      </c>
      <c r="H3" s="5" t="s">
        <v>104</v>
      </c>
      <c r="I3" s="5" t="s">
        <v>346</v>
      </c>
      <c r="J3" s="5" t="s">
        <v>838</v>
      </c>
      <c r="K3" s="5" t="s">
        <v>839</v>
      </c>
      <c r="L3" s="5" t="s">
        <v>131</v>
      </c>
    </row>
    <row r="4" customFormat="false" ht="26.85" hidden="false" customHeight="false" outlineLevel="0" collapsed="false">
      <c r="A4" s="2" t="s">
        <v>840</v>
      </c>
      <c r="B4" s="5" t="s">
        <v>841</v>
      </c>
      <c r="C4" s="5" t="s">
        <v>119</v>
      </c>
      <c r="D4" s="5" t="s">
        <v>32</v>
      </c>
      <c r="E4" s="5" t="s">
        <v>123</v>
      </c>
      <c r="F4" s="2" t="s">
        <v>344</v>
      </c>
      <c r="G4" s="5" t="s">
        <v>373</v>
      </c>
      <c r="H4" s="5" t="s">
        <v>104</v>
      </c>
      <c r="I4" s="5" t="s">
        <v>346</v>
      </c>
      <c r="J4" s="5" t="s">
        <v>842</v>
      </c>
      <c r="K4" s="5" t="s">
        <v>843</v>
      </c>
      <c r="L4" s="5" t="s">
        <v>131</v>
      </c>
    </row>
    <row r="5" customFormat="false" ht="26.85" hidden="false" customHeight="false" outlineLevel="0" collapsed="false">
      <c r="A5" s="2" t="s">
        <v>844</v>
      </c>
      <c r="B5" s="5" t="s">
        <v>845</v>
      </c>
      <c r="C5" s="5" t="s">
        <v>119</v>
      </c>
      <c r="D5" s="5" t="s">
        <v>30</v>
      </c>
      <c r="E5" s="5" t="s">
        <v>123</v>
      </c>
      <c r="F5" s="2" t="s">
        <v>344</v>
      </c>
      <c r="G5" s="5" t="s">
        <v>345</v>
      </c>
      <c r="H5" s="5" t="s">
        <v>265</v>
      </c>
      <c r="I5" s="5" t="s">
        <v>346</v>
      </c>
      <c r="J5" s="5" t="s">
        <v>846</v>
      </c>
      <c r="K5" s="5" t="s">
        <v>847</v>
      </c>
      <c r="L5" s="5" t="s">
        <v>131</v>
      </c>
    </row>
    <row r="6" customFormat="false" ht="26.85" hidden="false" customHeight="false" outlineLevel="0" collapsed="false">
      <c r="A6" s="2" t="s">
        <v>848</v>
      </c>
      <c r="B6" s="5" t="s">
        <v>849</v>
      </c>
      <c r="C6" s="5" t="s">
        <v>119</v>
      </c>
      <c r="D6" s="5" t="s">
        <v>30</v>
      </c>
      <c r="E6" s="5" t="s">
        <v>123</v>
      </c>
      <c r="F6" s="2" t="s">
        <v>344</v>
      </c>
      <c r="G6" s="5" t="s">
        <v>345</v>
      </c>
      <c r="H6" s="5" t="s">
        <v>265</v>
      </c>
      <c r="I6" s="5" t="s">
        <v>346</v>
      </c>
      <c r="J6" s="5" t="s">
        <v>850</v>
      </c>
      <c r="K6" s="5" t="s">
        <v>851</v>
      </c>
      <c r="L6" s="5" t="s">
        <v>131</v>
      </c>
    </row>
    <row r="7" customFormat="false" ht="26.85" hidden="false" customHeight="false" outlineLevel="0" collapsed="false">
      <c r="A7" s="2" t="s">
        <v>852</v>
      </c>
      <c r="B7" s="5" t="s">
        <v>853</v>
      </c>
      <c r="C7" s="5" t="s">
        <v>119</v>
      </c>
      <c r="D7" s="5" t="s">
        <v>30</v>
      </c>
      <c r="E7" s="5" t="s">
        <v>123</v>
      </c>
      <c r="F7" s="2" t="s">
        <v>344</v>
      </c>
      <c r="G7" s="5" t="s">
        <v>345</v>
      </c>
      <c r="H7" s="5" t="s">
        <v>265</v>
      </c>
      <c r="I7" s="5" t="s">
        <v>346</v>
      </c>
      <c r="J7" s="5" t="s">
        <v>854</v>
      </c>
      <c r="K7" s="5" t="s">
        <v>855</v>
      </c>
      <c r="L7" s="5" t="s">
        <v>131</v>
      </c>
    </row>
    <row r="8" customFormat="false" ht="26.85" hidden="false" customHeight="false" outlineLevel="0" collapsed="false">
      <c r="A8" s="2" t="s">
        <v>856</v>
      </c>
      <c r="B8" s="5" t="s">
        <v>857</v>
      </c>
      <c r="C8" s="5" t="s">
        <v>119</v>
      </c>
      <c r="D8" s="5" t="s">
        <v>34</v>
      </c>
      <c r="E8" s="5" t="s">
        <v>123</v>
      </c>
      <c r="F8" s="2" t="s">
        <v>344</v>
      </c>
      <c r="G8" s="5" t="s">
        <v>345</v>
      </c>
      <c r="H8" s="5" t="s">
        <v>265</v>
      </c>
      <c r="I8" s="5" t="s">
        <v>346</v>
      </c>
      <c r="J8" s="5" t="s">
        <v>858</v>
      </c>
      <c r="K8" s="5" t="s">
        <v>859</v>
      </c>
      <c r="L8" s="5" t="s">
        <v>131</v>
      </c>
    </row>
    <row r="9" customFormat="false" ht="26.85" hidden="false" customHeight="false" outlineLevel="0" collapsed="false">
      <c r="A9" s="2" t="s">
        <v>860</v>
      </c>
      <c r="B9" s="5" t="s">
        <v>861</v>
      </c>
      <c r="C9" s="5" t="s">
        <v>119</v>
      </c>
      <c r="D9" s="5" t="s">
        <v>33</v>
      </c>
      <c r="E9" s="5" t="s">
        <v>123</v>
      </c>
      <c r="F9" s="2" t="s">
        <v>344</v>
      </c>
      <c r="G9" s="5" t="s">
        <v>345</v>
      </c>
      <c r="H9" s="5" t="s">
        <v>265</v>
      </c>
      <c r="I9" s="5" t="s">
        <v>346</v>
      </c>
      <c r="J9" s="5" t="s">
        <v>862</v>
      </c>
      <c r="K9" s="5" t="s">
        <v>863</v>
      </c>
      <c r="L9" s="5" t="s">
        <v>131</v>
      </c>
    </row>
    <row r="10" customFormat="false" ht="26.85" hidden="false" customHeight="false" outlineLevel="0" collapsed="false">
      <c r="A10" s="2" t="s">
        <v>864</v>
      </c>
      <c r="B10" s="5" t="s">
        <v>865</v>
      </c>
      <c r="C10" s="5" t="s">
        <v>411</v>
      </c>
      <c r="D10" s="5" t="s">
        <v>412</v>
      </c>
      <c r="E10" s="5" t="s">
        <v>413</v>
      </c>
      <c r="F10" s="2" t="s">
        <v>414</v>
      </c>
      <c r="G10" s="5" t="s">
        <v>265</v>
      </c>
      <c r="H10" s="5" t="s">
        <v>265</v>
      </c>
      <c r="I10" s="5" t="s">
        <v>346</v>
      </c>
      <c r="J10" s="5"/>
      <c r="K10" s="5" t="s">
        <v>415</v>
      </c>
      <c r="L10" s="5" t="s">
        <v>176</v>
      </c>
    </row>
    <row r="11" customFormat="false" ht="39.55" hidden="false" customHeight="false" outlineLevel="0" collapsed="false">
      <c r="A11" s="8" t="s">
        <v>866</v>
      </c>
      <c r="B11" s="9" t="s">
        <v>867</v>
      </c>
      <c r="C11" s="9" t="s">
        <v>317</v>
      </c>
      <c r="D11" s="9" t="s">
        <v>557</v>
      </c>
      <c r="E11" s="9" t="s">
        <v>558</v>
      </c>
      <c r="F11" s="8" t="s">
        <v>559</v>
      </c>
      <c r="G11" s="9" t="s">
        <v>564</v>
      </c>
      <c r="H11" s="9" t="s">
        <v>190</v>
      </c>
      <c r="I11" s="9" t="s">
        <v>488</v>
      </c>
      <c r="J11" s="9"/>
      <c r="K11" s="9" t="s">
        <v>325</v>
      </c>
      <c r="L11" s="9" t="s">
        <v>142</v>
      </c>
    </row>
    <row r="12" customFormat="false" ht="15" hidden="false" customHeight="false" outlineLevel="0" collapsed="false">
      <c r="A12" s="2" t="s">
        <v>868</v>
      </c>
      <c r="B12" s="5" t="s">
        <v>869</v>
      </c>
      <c r="C12" s="5" t="s">
        <v>264</v>
      </c>
      <c r="D12" s="5" t="s">
        <v>828</v>
      </c>
      <c r="E12" s="5" t="s">
        <v>302</v>
      </c>
      <c r="F12" s="2" t="s">
        <v>829</v>
      </c>
      <c r="G12" s="5" t="s">
        <v>870</v>
      </c>
      <c r="H12" s="5" t="s">
        <v>265</v>
      </c>
      <c r="I12" s="5" t="s">
        <v>346</v>
      </c>
      <c r="J12" s="5"/>
      <c r="K12" s="5" t="s">
        <v>273</v>
      </c>
      <c r="L12" s="5" t="s">
        <v>142</v>
      </c>
    </row>
    <row r="13" customFormat="false" ht="26.85" hidden="false" customHeight="false" outlineLevel="0" collapsed="false">
      <c r="A13" s="2" t="s">
        <v>871</v>
      </c>
      <c r="B13" s="5" t="s">
        <v>872</v>
      </c>
      <c r="C13" s="5" t="s">
        <v>132</v>
      </c>
      <c r="D13" s="5" t="s">
        <v>424</v>
      </c>
      <c r="E13" s="5" t="s">
        <v>425</v>
      </c>
      <c r="F13" s="2" t="s">
        <v>426</v>
      </c>
      <c r="G13" s="5" t="s">
        <v>427</v>
      </c>
      <c r="H13" s="5" t="s">
        <v>428</v>
      </c>
      <c r="I13" s="5" t="s">
        <v>346</v>
      </c>
      <c r="J13" s="5"/>
      <c r="K13" s="5" t="s">
        <v>429</v>
      </c>
      <c r="L13" s="5" t="s">
        <v>142</v>
      </c>
    </row>
    <row r="14" customFormat="false" ht="26.85" hidden="false" customHeight="false" outlineLevel="0" collapsed="false">
      <c r="A14" s="2" t="s">
        <v>873</v>
      </c>
      <c r="B14" s="5" t="s">
        <v>874</v>
      </c>
      <c r="C14" s="5" t="s">
        <v>132</v>
      </c>
      <c r="D14" s="5" t="s">
        <v>424</v>
      </c>
      <c r="E14" s="5" t="s">
        <v>425</v>
      </c>
      <c r="F14" s="2" t="s">
        <v>426</v>
      </c>
      <c r="G14" s="5" t="s">
        <v>427</v>
      </c>
      <c r="H14" s="5" t="s">
        <v>428</v>
      </c>
      <c r="I14" s="5" t="s">
        <v>346</v>
      </c>
      <c r="J14" s="5"/>
      <c r="K14" s="5" t="s">
        <v>429</v>
      </c>
      <c r="L14" s="5" t="s">
        <v>142</v>
      </c>
    </row>
  </sheetData>
  <autoFilter ref="A1:L14"/>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875</v>
      </c>
      <c r="B2" s="5" t="s">
        <v>876</v>
      </c>
      <c r="C2" s="5" t="s">
        <v>119</v>
      </c>
      <c r="D2" s="5" t="s">
        <v>33</v>
      </c>
      <c r="E2" s="5" t="s">
        <v>123</v>
      </c>
      <c r="F2" s="2" t="s">
        <v>344</v>
      </c>
      <c r="G2" s="5" t="s">
        <v>345</v>
      </c>
      <c r="H2" s="5" t="s">
        <v>265</v>
      </c>
      <c r="I2" s="5" t="s">
        <v>346</v>
      </c>
      <c r="J2" s="5" t="s">
        <v>877</v>
      </c>
      <c r="K2" s="5" t="s">
        <v>878</v>
      </c>
      <c r="L2" s="5" t="s">
        <v>131</v>
      </c>
    </row>
    <row r="3" customFormat="false" ht="26.85" hidden="false" customHeight="false" outlineLevel="0" collapsed="false">
      <c r="A3" s="2" t="s">
        <v>879</v>
      </c>
      <c r="B3" s="5" t="s">
        <v>880</v>
      </c>
      <c r="C3" s="5" t="s">
        <v>119</v>
      </c>
      <c r="D3" s="5" t="s">
        <v>32</v>
      </c>
      <c r="E3" s="5" t="s">
        <v>123</v>
      </c>
      <c r="F3" s="2" t="s">
        <v>344</v>
      </c>
      <c r="G3" s="5" t="s">
        <v>345</v>
      </c>
      <c r="H3" s="5" t="s">
        <v>265</v>
      </c>
      <c r="I3" s="5" t="s">
        <v>346</v>
      </c>
      <c r="J3" s="5" t="s">
        <v>881</v>
      </c>
      <c r="K3" s="5" t="s">
        <v>882</v>
      </c>
      <c r="L3" s="5" t="s">
        <v>131</v>
      </c>
    </row>
    <row r="4" customFormat="false" ht="26.85" hidden="false" customHeight="false" outlineLevel="0" collapsed="false">
      <c r="A4" s="2" t="s">
        <v>883</v>
      </c>
      <c r="B4" s="5" t="s">
        <v>884</v>
      </c>
      <c r="C4" s="5" t="s">
        <v>119</v>
      </c>
      <c r="D4" s="5" t="s">
        <v>33</v>
      </c>
      <c r="E4" s="5" t="s">
        <v>123</v>
      </c>
      <c r="F4" s="2" t="s">
        <v>344</v>
      </c>
      <c r="G4" s="5" t="s">
        <v>345</v>
      </c>
      <c r="H4" s="5" t="s">
        <v>265</v>
      </c>
      <c r="I4" s="5" t="s">
        <v>346</v>
      </c>
      <c r="J4" s="5" t="s">
        <v>885</v>
      </c>
      <c r="K4" s="5" t="s">
        <v>886</v>
      </c>
      <c r="L4" s="5" t="s">
        <v>131</v>
      </c>
    </row>
    <row r="5" customFormat="false" ht="26.85" hidden="false" customHeight="false" outlineLevel="0" collapsed="false">
      <c r="A5" s="2" t="s">
        <v>887</v>
      </c>
      <c r="B5" s="5" t="s">
        <v>888</v>
      </c>
      <c r="C5" s="5" t="s">
        <v>119</v>
      </c>
      <c r="D5" s="5" t="s">
        <v>32</v>
      </c>
      <c r="E5" s="5" t="s">
        <v>123</v>
      </c>
      <c r="F5" s="2" t="s">
        <v>344</v>
      </c>
      <c r="G5" s="5" t="s">
        <v>345</v>
      </c>
      <c r="H5" s="5" t="s">
        <v>265</v>
      </c>
      <c r="I5" s="5" t="s">
        <v>346</v>
      </c>
      <c r="J5" s="5" t="s">
        <v>889</v>
      </c>
      <c r="K5" s="5" t="s">
        <v>890</v>
      </c>
      <c r="L5" s="5" t="s">
        <v>131</v>
      </c>
    </row>
    <row r="6" customFormat="false" ht="26.85" hidden="false" customHeight="false" outlineLevel="0" collapsed="false">
      <c r="A6" s="2" t="s">
        <v>891</v>
      </c>
      <c r="B6" s="5" t="s">
        <v>892</v>
      </c>
      <c r="C6" s="5" t="s">
        <v>119</v>
      </c>
      <c r="D6" s="5" t="s">
        <v>33</v>
      </c>
      <c r="E6" s="5" t="s">
        <v>123</v>
      </c>
      <c r="F6" s="2" t="s">
        <v>344</v>
      </c>
      <c r="G6" s="5" t="s">
        <v>345</v>
      </c>
      <c r="H6" s="5" t="s">
        <v>265</v>
      </c>
      <c r="I6" s="5" t="s">
        <v>346</v>
      </c>
      <c r="J6" s="5" t="s">
        <v>893</v>
      </c>
      <c r="K6" s="5" t="s">
        <v>894</v>
      </c>
      <c r="L6" s="5" t="s">
        <v>131</v>
      </c>
    </row>
    <row r="7" customFormat="false" ht="26.85" hidden="false" customHeight="false" outlineLevel="0" collapsed="false">
      <c r="A7" s="2" t="s">
        <v>895</v>
      </c>
      <c r="B7" s="5" t="s">
        <v>896</v>
      </c>
      <c r="C7" s="5" t="s">
        <v>119</v>
      </c>
      <c r="D7" s="5" t="s">
        <v>30</v>
      </c>
      <c r="E7" s="5" t="s">
        <v>123</v>
      </c>
      <c r="F7" s="2" t="s">
        <v>344</v>
      </c>
      <c r="G7" s="5" t="s">
        <v>345</v>
      </c>
      <c r="H7" s="5" t="s">
        <v>265</v>
      </c>
      <c r="I7" s="5" t="s">
        <v>346</v>
      </c>
      <c r="J7" s="5" t="s">
        <v>897</v>
      </c>
      <c r="K7" s="5" t="s">
        <v>898</v>
      </c>
      <c r="L7" s="5" t="s">
        <v>131</v>
      </c>
    </row>
    <row r="8" customFormat="false" ht="26.85" hidden="false" customHeight="false" outlineLevel="0" collapsed="false">
      <c r="A8" s="2" t="s">
        <v>899</v>
      </c>
      <c r="B8" s="5" t="s">
        <v>900</v>
      </c>
      <c r="C8" s="5" t="s">
        <v>119</v>
      </c>
      <c r="D8" s="5" t="s">
        <v>30</v>
      </c>
      <c r="E8" s="5" t="s">
        <v>123</v>
      </c>
      <c r="F8" s="2" t="s">
        <v>344</v>
      </c>
      <c r="G8" s="5" t="s">
        <v>345</v>
      </c>
      <c r="H8" s="5" t="s">
        <v>265</v>
      </c>
      <c r="I8" s="5" t="s">
        <v>346</v>
      </c>
      <c r="J8" s="5" t="s">
        <v>901</v>
      </c>
      <c r="K8" s="5" t="s">
        <v>902</v>
      </c>
      <c r="L8" s="5" t="s">
        <v>131</v>
      </c>
    </row>
    <row r="9" customFormat="false" ht="26.85" hidden="false" customHeight="false" outlineLevel="0" collapsed="false">
      <c r="A9" s="2" t="s">
        <v>903</v>
      </c>
      <c r="B9" s="5" t="s">
        <v>904</v>
      </c>
      <c r="C9" s="5" t="s">
        <v>119</v>
      </c>
      <c r="D9" s="5" t="s">
        <v>34</v>
      </c>
      <c r="E9" s="5" t="s">
        <v>123</v>
      </c>
      <c r="F9" s="2" t="s">
        <v>344</v>
      </c>
      <c r="G9" s="5" t="s">
        <v>345</v>
      </c>
      <c r="H9" s="5" t="s">
        <v>265</v>
      </c>
      <c r="I9" s="5" t="s">
        <v>346</v>
      </c>
      <c r="J9" s="5" t="s">
        <v>905</v>
      </c>
      <c r="K9" s="5" t="s">
        <v>906</v>
      </c>
      <c r="L9" s="5" t="s">
        <v>131</v>
      </c>
    </row>
    <row r="10" customFormat="false" ht="26.85" hidden="false" customHeight="false" outlineLevel="0" collapsed="false">
      <c r="A10" s="2" t="s">
        <v>907</v>
      </c>
      <c r="B10" s="5" t="s">
        <v>908</v>
      </c>
      <c r="C10" s="5" t="s">
        <v>119</v>
      </c>
      <c r="D10" s="5" t="s">
        <v>32</v>
      </c>
      <c r="E10" s="5" t="s">
        <v>123</v>
      </c>
      <c r="F10" s="2" t="s">
        <v>344</v>
      </c>
      <c r="G10" s="5" t="s">
        <v>345</v>
      </c>
      <c r="H10" s="5" t="s">
        <v>265</v>
      </c>
      <c r="I10" s="5" t="s">
        <v>346</v>
      </c>
      <c r="J10" s="5" t="s">
        <v>909</v>
      </c>
      <c r="K10" s="5" t="s">
        <v>910</v>
      </c>
      <c r="L10" s="5" t="s">
        <v>131</v>
      </c>
    </row>
    <row r="11" customFormat="false" ht="26.85" hidden="false" customHeight="false" outlineLevel="0" collapsed="false">
      <c r="A11" s="2" t="s">
        <v>911</v>
      </c>
      <c r="B11" s="5" t="s">
        <v>912</v>
      </c>
      <c r="C11" s="5" t="s">
        <v>119</v>
      </c>
      <c r="D11" s="5" t="s">
        <v>34</v>
      </c>
      <c r="E11" s="5" t="s">
        <v>123</v>
      </c>
      <c r="F11" s="2" t="s">
        <v>344</v>
      </c>
      <c r="G11" s="5" t="s">
        <v>345</v>
      </c>
      <c r="H11" s="5" t="s">
        <v>265</v>
      </c>
      <c r="I11" s="5" t="s">
        <v>346</v>
      </c>
      <c r="J11" s="5" t="s">
        <v>913</v>
      </c>
      <c r="K11" s="5" t="s">
        <v>914</v>
      </c>
      <c r="L11" s="5" t="s">
        <v>131</v>
      </c>
    </row>
    <row r="12" customFormat="false" ht="26.85" hidden="false" customHeight="false" outlineLevel="0" collapsed="false">
      <c r="A12" s="2" t="s">
        <v>915</v>
      </c>
      <c r="B12" s="5" t="s">
        <v>916</v>
      </c>
      <c r="C12" s="5" t="s">
        <v>119</v>
      </c>
      <c r="D12" s="5" t="s">
        <v>30</v>
      </c>
      <c r="E12" s="5" t="s">
        <v>123</v>
      </c>
      <c r="F12" s="2" t="s">
        <v>344</v>
      </c>
      <c r="G12" s="5" t="s">
        <v>345</v>
      </c>
      <c r="H12" s="5" t="s">
        <v>265</v>
      </c>
      <c r="I12" s="5" t="s">
        <v>346</v>
      </c>
      <c r="J12" s="5" t="s">
        <v>917</v>
      </c>
      <c r="K12" s="5" t="s">
        <v>918</v>
      </c>
      <c r="L12" s="5" t="s">
        <v>131</v>
      </c>
    </row>
    <row r="13" customFormat="false" ht="26.85" hidden="false" customHeight="false" outlineLevel="0" collapsed="false">
      <c r="A13" s="2" t="s">
        <v>919</v>
      </c>
      <c r="B13" s="5" t="s">
        <v>920</v>
      </c>
      <c r="C13" s="5" t="s">
        <v>411</v>
      </c>
      <c r="D13" s="5" t="s">
        <v>412</v>
      </c>
      <c r="E13" s="5" t="s">
        <v>413</v>
      </c>
      <c r="F13" s="2" t="s">
        <v>414</v>
      </c>
      <c r="G13" s="5" t="s">
        <v>265</v>
      </c>
      <c r="H13" s="5" t="s">
        <v>265</v>
      </c>
      <c r="I13" s="5" t="s">
        <v>346</v>
      </c>
      <c r="J13" s="5"/>
      <c r="K13" s="5" t="s">
        <v>415</v>
      </c>
      <c r="L13" s="5" t="s">
        <v>176</v>
      </c>
    </row>
    <row r="14" customFormat="false" ht="15" hidden="false" customHeight="false" outlineLevel="0" collapsed="false">
      <c r="A14" s="8" t="s">
        <v>921</v>
      </c>
      <c r="B14" s="9" t="s">
        <v>922</v>
      </c>
      <c r="C14" s="9" t="s">
        <v>246</v>
      </c>
      <c r="D14" s="9" t="s">
        <v>646</v>
      </c>
      <c r="E14" s="9" t="s">
        <v>248</v>
      </c>
      <c r="F14" s="8" t="s">
        <v>647</v>
      </c>
      <c r="G14" s="9" t="s">
        <v>648</v>
      </c>
      <c r="H14" s="9" t="s">
        <v>190</v>
      </c>
      <c r="I14" s="9" t="s">
        <v>488</v>
      </c>
      <c r="J14" s="9"/>
      <c r="K14" s="9" t="s">
        <v>254</v>
      </c>
      <c r="L14" s="9" t="s">
        <v>142</v>
      </c>
    </row>
    <row r="15" customFormat="false" ht="26.85" hidden="false" customHeight="false" outlineLevel="0" collapsed="false">
      <c r="A15" s="2" t="s">
        <v>923</v>
      </c>
      <c r="B15" s="5" t="s">
        <v>924</v>
      </c>
      <c r="C15" s="5" t="s">
        <v>132</v>
      </c>
      <c r="D15" s="5" t="s">
        <v>424</v>
      </c>
      <c r="E15" s="5" t="s">
        <v>425</v>
      </c>
      <c r="F15" s="2" t="s">
        <v>426</v>
      </c>
      <c r="G15" s="5" t="s">
        <v>427</v>
      </c>
      <c r="H15" s="5" t="s">
        <v>428</v>
      </c>
      <c r="I15" s="5" t="s">
        <v>346</v>
      </c>
      <c r="J15" s="5"/>
      <c r="K15" s="5" t="s">
        <v>429</v>
      </c>
      <c r="L15" s="5" t="s">
        <v>142</v>
      </c>
    </row>
    <row r="16" customFormat="false" ht="26.85" hidden="false" customHeight="false" outlineLevel="0" collapsed="false">
      <c r="A16" s="2" t="s">
        <v>925</v>
      </c>
      <c r="B16" s="5" t="s">
        <v>926</v>
      </c>
      <c r="C16" s="5" t="s">
        <v>132</v>
      </c>
      <c r="D16" s="5" t="s">
        <v>424</v>
      </c>
      <c r="E16" s="5" t="s">
        <v>425</v>
      </c>
      <c r="F16" s="2" t="s">
        <v>426</v>
      </c>
      <c r="G16" s="5" t="s">
        <v>427</v>
      </c>
      <c r="H16" s="5" t="s">
        <v>428</v>
      </c>
      <c r="I16" s="5" t="s">
        <v>346</v>
      </c>
      <c r="J16" s="5"/>
      <c r="K16" s="5" t="s">
        <v>429</v>
      </c>
      <c r="L16" s="5" t="s">
        <v>142</v>
      </c>
    </row>
    <row r="17" customFormat="false" ht="26.85" hidden="false" customHeight="false" outlineLevel="0" collapsed="false">
      <c r="A17" s="2" t="s">
        <v>927</v>
      </c>
      <c r="B17" s="5" t="s">
        <v>928</v>
      </c>
      <c r="C17" s="5" t="s">
        <v>132</v>
      </c>
      <c r="D17" s="5" t="s">
        <v>424</v>
      </c>
      <c r="E17" s="5" t="s">
        <v>425</v>
      </c>
      <c r="F17" s="2" t="s">
        <v>426</v>
      </c>
      <c r="G17" s="5" t="s">
        <v>427</v>
      </c>
      <c r="H17" s="5" t="s">
        <v>428</v>
      </c>
      <c r="I17" s="5" t="s">
        <v>346</v>
      </c>
      <c r="J17" s="5"/>
      <c r="K17" s="5" t="s">
        <v>429</v>
      </c>
      <c r="L17" s="5" t="s">
        <v>142</v>
      </c>
    </row>
    <row r="18" customFormat="false" ht="26.85" hidden="false" customHeight="false" outlineLevel="0" collapsed="false">
      <c r="A18" s="2" t="s">
        <v>929</v>
      </c>
      <c r="B18" s="5" t="s">
        <v>930</v>
      </c>
      <c r="C18" s="5" t="s">
        <v>132</v>
      </c>
      <c r="D18" s="5" t="s">
        <v>424</v>
      </c>
      <c r="E18" s="5" t="s">
        <v>425</v>
      </c>
      <c r="F18" s="2" t="s">
        <v>426</v>
      </c>
      <c r="G18" s="5" t="s">
        <v>427</v>
      </c>
      <c r="H18" s="5" t="s">
        <v>428</v>
      </c>
      <c r="I18" s="5" t="s">
        <v>346</v>
      </c>
      <c r="J18" s="5"/>
      <c r="K18" s="5" t="s">
        <v>429</v>
      </c>
      <c r="L18" s="5" t="s">
        <v>142</v>
      </c>
    </row>
    <row r="19" customFormat="false" ht="26.85" hidden="false" customHeight="false" outlineLevel="0" collapsed="false">
      <c r="A19" s="2" t="s">
        <v>931</v>
      </c>
      <c r="B19" s="5" t="s">
        <v>932</v>
      </c>
      <c r="C19" s="5" t="s">
        <v>132</v>
      </c>
      <c r="D19" s="5" t="s">
        <v>424</v>
      </c>
      <c r="E19" s="5" t="s">
        <v>425</v>
      </c>
      <c r="F19" s="2" t="s">
        <v>426</v>
      </c>
      <c r="G19" s="5" t="s">
        <v>427</v>
      </c>
      <c r="H19" s="5" t="s">
        <v>428</v>
      </c>
      <c r="I19" s="5" t="s">
        <v>346</v>
      </c>
      <c r="J19" s="5"/>
      <c r="K19" s="5" t="s">
        <v>429</v>
      </c>
      <c r="L19" s="5" t="s">
        <v>142</v>
      </c>
    </row>
    <row r="20" customFormat="false" ht="26.85" hidden="false" customHeight="false" outlineLevel="0" collapsed="false">
      <c r="A20" s="2" t="s">
        <v>933</v>
      </c>
      <c r="B20" s="5" t="s">
        <v>934</v>
      </c>
      <c r="C20" s="5" t="s">
        <v>132</v>
      </c>
      <c r="D20" s="5" t="s">
        <v>424</v>
      </c>
      <c r="E20" s="5" t="s">
        <v>425</v>
      </c>
      <c r="F20" s="2" t="s">
        <v>426</v>
      </c>
      <c r="G20" s="5" t="s">
        <v>427</v>
      </c>
      <c r="H20" s="5" t="s">
        <v>428</v>
      </c>
      <c r="I20" s="5" t="s">
        <v>346</v>
      </c>
      <c r="J20" s="5"/>
      <c r="K20" s="5" t="s">
        <v>429</v>
      </c>
      <c r="L20" s="5" t="s">
        <v>142</v>
      </c>
    </row>
  </sheetData>
  <autoFilter ref="A1:L20"/>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935</v>
      </c>
      <c r="B2" s="5" t="s">
        <v>936</v>
      </c>
      <c r="C2" s="5" t="s">
        <v>119</v>
      </c>
      <c r="D2" s="5" t="s">
        <v>33</v>
      </c>
      <c r="E2" s="5" t="s">
        <v>123</v>
      </c>
      <c r="F2" s="2" t="s">
        <v>344</v>
      </c>
      <c r="G2" s="5" t="s">
        <v>345</v>
      </c>
      <c r="H2" s="5" t="s">
        <v>265</v>
      </c>
      <c r="I2" s="5" t="s">
        <v>488</v>
      </c>
      <c r="J2" s="5" t="s">
        <v>937</v>
      </c>
      <c r="K2" s="5" t="s">
        <v>938</v>
      </c>
      <c r="L2" s="5" t="s">
        <v>131</v>
      </c>
    </row>
    <row r="3" customFormat="false" ht="26.85" hidden="false" customHeight="false" outlineLevel="0" collapsed="false">
      <c r="A3" s="2" t="s">
        <v>939</v>
      </c>
      <c r="B3" s="5" t="s">
        <v>940</v>
      </c>
      <c r="C3" s="5" t="s">
        <v>119</v>
      </c>
      <c r="D3" s="5" t="s">
        <v>32</v>
      </c>
      <c r="E3" s="5" t="s">
        <v>123</v>
      </c>
      <c r="F3" s="2" t="s">
        <v>344</v>
      </c>
      <c r="G3" s="5" t="s">
        <v>345</v>
      </c>
      <c r="H3" s="5" t="s">
        <v>265</v>
      </c>
      <c r="I3" s="5" t="s">
        <v>346</v>
      </c>
      <c r="J3" s="5" t="s">
        <v>941</v>
      </c>
      <c r="K3" s="5" t="s">
        <v>942</v>
      </c>
      <c r="L3" s="5" t="s">
        <v>131</v>
      </c>
    </row>
    <row r="4" customFormat="false" ht="26.85" hidden="false" customHeight="false" outlineLevel="0" collapsed="false">
      <c r="A4" s="8" t="s">
        <v>943</v>
      </c>
      <c r="B4" s="9" t="s">
        <v>944</v>
      </c>
      <c r="C4" s="9" t="s">
        <v>119</v>
      </c>
      <c r="D4" s="9" t="s">
        <v>32</v>
      </c>
      <c r="E4" s="9" t="s">
        <v>123</v>
      </c>
      <c r="F4" s="8" t="s">
        <v>344</v>
      </c>
      <c r="G4" s="9" t="s">
        <v>695</v>
      </c>
      <c r="H4" s="9" t="s">
        <v>190</v>
      </c>
      <c r="I4" s="9" t="s">
        <v>488</v>
      </c>
      <c r="J4" s="9" t="s">
        <v>945</v>
      </c>
      <c r="K4" s="9" t="s">
        <v>946</v>
      </c>
      <c r="L4" s="9" t="s">
        <v>131</v>
      </c>
    </row>
    <row r="5" customFormat="false" ht="26.85" hidden="false" customHeight="false" outlineLevel="0" collapsed="false">
      <c r="A5" s="2" t="s">
        <v>947</v>
      </c>
      <c r="B5" s="5" t="s">
        <v>948</v>
      </c>
      <c r="C5" s="5" t="s">
        <v>119</v>
      </c>
      <c r="D5" s="5" t="s">
        <v>33</v>
      </c>
      <c r="E5" s="5" t="s">
        <v>123</v>
      </c>
      <c r="F5" s="2" t="s">
        <v>344</v>
      </c>
      <c r="G5" s="5" t="s">
        <v>345</v>
      </c>
      <c r="H5" s="5" t="s">
        <v>265</v>
      </c>
      <c r="I5" s="5" t="s">
        <v>488</v>
      </c>
      <c r="J5" s="5" t="s">
        <v>949</v>
      </c>
      <c r="K5" s="5" t="s">
        <v>950</v>
      </c>
      <c r="L5" s="5" t="s">
        <v>131</v>
      </c>
    </row>
    <row r="6" customFormat="false" ht="26.85" hidden="false" customHeight="false" outlineLevel="0" collapsed="false">
      <c r="A6" s="2" t="s">
        <v>951</v>
      </c>
      <c r="B6" s="5" t="s">
        <v>952</v>
      </c>
      <c r="C6" s="5" t="s">
        <v>119</v>
      </c>
      <c r="D6" s="5" t="s">
        <v>34</v>
      </c>
      <c r="E6" s="5" t="s">
        <v>123</v>
      </c>
      <c r="F6" s="2" t="s">
        <v>344</v>
      </c>
      <c r="G6" s="5" t="s">
        <v>345</v>
      </c>
      <c r="H6" s="5" t="s">
        <v>265</v>
      </c>
      <c r="I6" s="5" t="s">
        <v>346</v>
      </c>
      <c r="J6" s="5" t="s">
        <v>953</v>
      </c>
      <c r="K6" s="5" t="s">
        <v>954</v>
      </c>
      <c r="L6" s="5" t="s">
        <v>131</v>
      </c>
    </row>
    <row r="7" customFormat="false" ht="26.85" hidden="false" customHeight="false" outlineLevel="0" collapsed="false">
      <c r="A7" s="2" t="s">
        <v>955</v>
      </c>
      <c r="B7" s="5" t="s">
        <v>956</v>
      </c>
      <c r="C7" s="5" t="s">
        <v>119</v>
      </c>
      <c r="D7" s="5" t="s">
        <v>30</v>
      </c>
      <c r="E7" s="5" t="s">
        <v>123</v>
      </c>
      <c r="F7" s="2" t="s">
        <v>344</v>
      </c>
      <c r="G7" s="5" t="s">
        <v>345</v>
      </c>
      <c r="H7" s="5" t="s">
        <v>265</v>
      </c>
      <c r="I7" s="5" t="s">
        <v>346</v>
      </c>
      <c r="J7" s="5" t="s">
        <v>957</v>
      </c>
      <c r="K7" s="5" t="s">
        <v>958</v>
      </c>
      <c r="L7" s="5" t="s">
        <v>131</v>
      </c>
    </row>
    <row r="8" customFormat="false" ht="26.85" hidden="false" customHeight="false" outlineLevel="0" collapsed="false">
      <c r="A8" s="2" t="s">
        <v>959</v>
      </c>
      <c r="B8" s="5" t="s">
        <v>960</v>
      </c>
      <c r="C8" s="5" t="s">
        <v>119</v>
      </c>
      <c r="D8" s="5" t="s">
        <v>30</v>
      </c>
      <c r="E8" s="5" t="s">
        <v>123</v>
      </c>
      <c r="F8" s="2" t="s">
        <v>344</v>
      </c>
      <c r="G8" s="5" t="s">
        <v>345</v>
      </c>
      <c r="H8" s="5" t="s">
        <v>265</v>
      </c>
      <c r="I8" s="5" t="s">
        <v>346</v>
      </c>
      <c r="J8" s="5" t="s">
        <v>961</v>
      </c>
      <c r="K8" s="5" t="s">
        <v>962</v>
      </c>
      <c r="L8" s="5" t="s">
        <v>131</v>
      </c>
    </row>
    <row r="9" customFormat="false" ht="26.85" hidden="false" customHeight="false" outlineLevel="0" collapsed="false">
      <c r="A9" s="8" t="s">
        <v>963</v>
      </c>
      <c r="B9" s="9" t="s">
        <v>964</v>
      </c>
      <c r="C9" s="9" t="s">
        <v>119</v>
      </c>
      <c r="D9" s="9" t="s">
        <v>31</v>
      </c>
      <c r="E9" s="9" t="s">
        <v>123</v>
      </c>
      <c r="F9" s="8" t="s">
        <v>344</v>
      </c>
      <c r="G9" s="9" t="s">
        <v>695</v>
      </c>
      <c r="H9" s="9" t="s">
        <v>190</v>
      </c>
      <c r="I9" s="9" t="s">
        <v>488</v>
      </c>
      <c r="J9" s="9" t="s">
        <v>965</v>
      </c>
      <c r="K9" s="9" t="s">
        <v>966</v>
      </c>
      <c r="L9" s="9" t="s">
        <v>131</v>
      </c>
    </row>
    <row r="10" customFormat="false" ht="26.85" hidden="false" customHeight="false" outlineLevel="0" collapsed="false">
      <c r="A10" s="2" t="s">
        <v>967</v>
      </c>
      <c r="B10" s="5" t="s">
        <v>968</v>
      </c>
      <c r="C10" s="5" t="s">
        <v>119</v>
      </c>
      <c r="D10" s="5" t="s">
        <v>31</v>
      </c>
      <c r="E10" s="5" t="s">
        <v>123</v>
      </c>
      <c r="F10" s="2" t="s">
        <v>344</v>
      </c>
      <c r="G10" s="5" t="s">
        <v>345</v>
      </c>
      <c r="H10" s="5" t="s">
        <v>265</v>
      </c>
      <c r="I10" s="5" t="s">
        <v>346</v>
      </c>
      <c r="J10" s="5" t="s">
        <v>969</v>
      </c>
      <c r="K10" s="5" t="s">
        <v>970</v>
      </c>
      <c r="L10" s="5" t="s">
        <v>131</v>
      </c>
    </row>
    <row r="11" customFormat="false" ht="26.85" hidden="false" customHeight="false" outlineLevel="0" collapsed="false">
      <c r="A11" s="2" t="s">
        <v>971</v>
      </c>
      <c r="B11" s="5" t="s">
        <v>972</v>
      </c>
      <c r="C11" s="5" t="s">
        <v>119</v>
      </c>
      <c r="D11" s="5" t="s">
        <v>32</v>
      </c>
      <c r="E11" s="5" t="s">
        <v>123</v>
      </c>
      <c r="F11" s="2" t="s">
        <v>344</v>
      </c>
      <c r="G11" s="5" t="s">
        <v>345</v>
      </c>
      <c r="H11" s="5" t="s">
        <v>265</v>
      </c>
      <c r="I11" s="5" t="s">
        <v>346</v>
      </c>
      <c r="J11" s="5" t="s">
        <v>973</v>
      </c>
      <c r="K11" s="5" t="s">
        <v>974</v>
      </c>
      <c r="L11" s="5" t="s">
        <v>131</v>
      </c>
    </row>
    <row r="12" customFormat="false" ht="26.85" hidden="false" customHeight="false" outlineLevel="0" collapsed="false">
      <c r="A12" s="2" t="s">
        <v>975</v>
      </c>
      <c r="B12" s="5" t="s">
        <v>976</v>
      </c>
      <c r="C12" s="5" t="s">
        <v>119</v>
      </c>
      <c r="D12" s="5" t="s">
        <v>33</v>
      </c>
      <c r="E12" s="5" t="s">
        <v>123</v>
      </c>
      <c r="F12" s="2" t="s">
        <v>344</v>
      </c>
      <c r="G12" s="5" t="s">
        <v>345</v>
      </c>
      <c r="H12" s="5" t="s">
        <v>265</v>
      </c>
      <c r="I12" s="5" t="s">
        <v>368</v>
      </c>
      <c r="J12" s="5" t="s">
        <v>977</v>
      </c>
      <c r="K12" s="5" t="s">
        <v>978</v>
      </c>
      <c r="L12" s="5" t="s">
        <v>131</v>
      </c>
    </row>
    <row r="13" customFormat="false" ht="26.85" hidden="false" customHeight="false" outlineLevel="0" collapsed="false">
      <c r="A13" s="2" t="s">
        <v>979</v>
      </c>
      <c r="B13" s="5" t="s">
        <v>980</v>
      </c>
      <c r="C13" s="5" t="s">
        <v>119</v>
      </c>
      <c r="D13" s="5" t="s">
        <v>30</v>
      </c>
      <c r="E13" s="5" t="s">
        <v>123</v>
      </c>
      <c r="F13" s="2" t="s">
        <v>344</v>
      </c>
      <c r="G13" s="5" t="s">
        <v>345</v>
      </c>
      <c r="H13" s="5" t="s">
        <v>265</v>
      </c>
      <c r="I13" s="5" t="s">
        <v>346</v>
      </c>
      <c r="J13" s="5" t="s">
        <v>981</v>
      </c>
      <c r="K13" s="5" t="s">
        <v>982</v>
      </c>
      <c r="L13" s="5" t="s">
        <v>131</v>
      </c>
    </row>
    <row r="14" customFormat="false" ht="26.85" hidden="false" customHeight="false" outlineLevel="0" collapsed="false">
      <c r="A14" s="2" t="s">
        <v>983</v>
      </c>
      <c r="B14" s="5" t="s">
        <v>984</v>
      </c>
      <c r="C14" s="5" t="s">
        <v>411</v>
      </c>
      <c r="D14" s="5" t="s">
        <v>412</v>
      </c>
      <c r="E14" s="5" t="s">
        <v>413</v>
      </c>
      <c r="F14" s="2" t="s">
        <v>414</v>
      </c>
      <c r="G14" s="5" t="s">
        <v>265</v>
      </c>
      <c r="H14" s="5" t="s">
        <v>265</v>
      </c>
      <c r="I14" s="5" t="s">
        <v>346</v>
      </c>
      <c r="J14" s="5"/>
      <c r="K14" s="5" t="s">
        <v>415</v>
      </c>
      <c r="L14" s="5" t="s">
        <v>176</v>
      </c>
    </row>
    <row r="15" customFormat="false" ht="39.55" hidden="false" customHeight="false" outlineLevel="0" collapsed="false">
      <c r="A15" s="8" t="s">
        <v>985</v>
      </c>
      <c r="B15" s="9" t="s">
        <v>986</v>
      </c>
      <c r="C15" s="9" t="s">
        <v>317</v>
      </c>
      <c r="D15" s="9" t="s">
        <v>557</v>
      </c>
      <c r="E15" s="9" t="s">
        <v>558</v>
      </c>
      <c r="F15" s="8" t="s">
        <v>559</v>
      </c>
      <c r="G15" s="9" t="s">
        <v>155</v>
      </c>
      <c r="H15" s="9" t="s">
        <v>190</v>
      </c>
      <c r="I15" s="9" t="s">
        <v>488</v>
      </c>
      <c r="J15" s="9"/>
      <c r="K15" s="9" t="s">
        <v>325</v>
      </c>
      <c r="L15" s="9" t="s">
        <v>142</v>
      </c>
    </row>
    <row r="16" customFormat="false" ht="39.55" hidden="false" customHeight="false" outlineLevel="0" collapsed="false">
      <c r="A16" s="8" t="s">
        <v>987</v>
      </c>
      <c r="B16" s="9" t="s">
        <v>988</v>
      </c>
      <c r="C16" s="9" t="s">
        <v>317</v>
      </c>
      <c r="D16" s="9" t="s">
        <v>557</v>
      </c>
      <c r="E16" s="9" t="s">
        <v>558</v>
      </c>
      <c r="F16" s="8" t="s">
        <v>559</v>
      </c>
      <c r="G16" s="9" t="s">
        <v>200</v>
      </c>
      <c r="H16" s="9" t="s">
        <v>190</v>
      </c>
      <c r="I16" s="9" t="s">
        <v>488</v>
      </c>
      <c r="J16" s="9"/>
      <c r="K16" s="9" t="s">
        <v>325</v>
      </c>
      <c r="L16" s="9" t="s">
        <v>142</v>
      </c>
    </row>
    <row r="17" customFormat="false" ht="39.55" hidden="false" customHeight="false" outlineLevel="0" collapsed="false">
      <c r="A17" s="2" t="s">
        <v>989</v>
      </c>
      <c r="B17" s="5" t="s">
        <v>990</v>
      </c>
      <c r="C17" s="5" t="s">
        <v>177</v>
      </c>
      <c r="D17" s="5" t="s">
        <v>418</v>
      </c>
      <c r="E17" s="5" t="s">
        <v>413</v>
      </c>
      <c r="F17" s="2" t="s">
        <v>420</v>
      </c>
      <c r="G17" s="5" t="s">
        <v>991</v>
      </c>
      <c r="H17" s="5" t="s">
        <v>265</v>
      </c>
      <c r="I17" s="5" t="s">
        <v>346</v>
      </c>
      <c r="J17" s="5"/>
      <c r="K17" s="5" t="s">
        <v>187</v>
      </c>
      <c r="L17" s="5" t="s">
        <v>142</v>
      </c>
    </row>
    <row r="18" customFormat="false" ht="26.85" hidden="false" customHeight="false" outlineLevel="0" collapsed="false">
      <c r="A18" s="8" t="s">
        <v>992</v>
      </c>
      <c r="B18" s="9" t="s">
        <v>993</v>
      </c>
      <c r="C18" s="9" t="s">
        <v>246</v>
      </c>
      <c r="D18" s="9" t="s">
        <v>646</v>
      </c>
      <c r="E18" s="9" t="s">
        <v>248</v>
      </c>
      <c r="F18" s="8" t="s">
        <v>647</v>
      </c>
      <c r="G18" s="9" t="s">
        <v>648</v>
      </c>
      <c r="H18" s="9" t="s">
        <v>190</v>
      </c>
      <c r="I18" s="9" t="s">
        <v>488</v>
      </c>
      <c r="J18" s="9"/>
      <c r="K18" s="9" t="s">
        <v>254</v>
      </c>
      <c r="L18" s="9" t="s">
        <v>142</v>
      </c>
    </row>
    <row r="19" customFormat="false" ht="15" hidden="false" customHeight="false" outlineLevel="0" collapsed="false">
      <c r="A19" s="8" t="s">
        <v>994</v>
      </c>
      <c r="B19" s="9" t="s">
        <v>995</v>
      </c>
      <c r="C19" s="9" t="s">
        <v>246</v>
      </c>
      <c r="D19" s="9" t="s">
        <v>646</v>
      </c>
      <c r="E19" s="9" t="s">
        <v>248</v>
      </c>
      <c r="F19" s="8" t="s">
        <v>647</v>
      </c>
      <c r="G19" s="9" t="s">
        <v>648</v>
      </c>
      <c r="H19" s="9" t="s">
        <v>190</v>
      </c>
      <c r="I19" s="9" t="s">
        <v>488</v>
      </c>
      <c r="J19" s="9"/>
      <c r="K19" s="9" t="s">
        <v>254</v>
      </c>
      <c r="L19" s="9" t="s">
        <v>142</v>
      </c>
    </row>
    <row r="20" customFormat="false" ht="26.85" hidden="false" customHeight="false" outlineLevel="0" collapsed="false">
      <c r="A20" s="2" t="s">
        <v>996</v>
      </c>
      <c r="B20" s="5" t="s">
        <v>997</v>
      </c>
      <c r="C20" s="5" t="s">
        <v>132</v>
      </c>
      <c r="D20" s="5" t="s">
        <v>424</v>
      </c>
      <c r="E20" s="5" t="s">
        <v>425</v>
      </c>
      <c r="F20" s="2" t="s">
        <v>426</v>
      </c>
      <c r="G20" s="5" t="s">
        <v>427</v>
      </c>
      <c r="H20" s="5" t="s">
        <v>428</v>
      </c>
      <c r="I20" s="5" t="s">
        <v>346</v>
      </c>
      <c r="J20" s="5"/>
      <c r="K20" s="5" t="s">
        <v>429</v>
      </c>
      <c r="L20" s="5" t="s">
        <v>142</v>
      </c>
    </row>
    <row r="21" customFormat="false" ht="26.85" hidden="false" customHeight="false" outlineLevel="0" collapsed="false">
      <c r="A21" s="2" t="s">
        <v>998</v>
      </c>
      <c r="B21" s="5" t="s">
        <v>999</v>
      </c>
      <c r="C21" s="5" t="s">
        <v>132</v>
      </c>
      <c r="D21" s="5" t="s">
        <v>424</v>
      </c>
      <c r="E21" s="5" t="s">
        <v>425</v>
      </c>
      <c r="F21" s="2" t="s">
        <v>426</v>
      </c>
      <c r="G21" s="5" t="s">
        <v>427</v>
      </c>
      <c r="H21" s="5" t="s">
        <v>428</v>
      </c>
      <c r="I21" s="5" t="s">
        <v>346</v>
      </c>
      <c r="J21" s="5"/>
      <c r="K21" s="5" t="s">
        <v>429</v>
      </c>
      <c r="L21" s="5" t="s">
        <v>142</v>
      </c>
    </row>
    <row r="22" customFormat="false" ht="26.85" hidden="false" customHeight="false" outlineLevel="0" collapsed="false">
      <c r="A22" s="2" t="s">
        <v>1000</v>
      </c>
      <c r="B22" s="5" t="s">
        <v>1001</v>
      </c>
      <c r="C22" s="5" t="s">
        <v>132</v>
      </c>
      <c r="D22" s="5" t="s">
        <v>424</v>
      </c>
      <c r="E22" s="5" t="s">
        <v>425</v>
      </c>
      <c r="F22" s="2" t="s">
        <v>426</v>
      </c>
      <c r="G22" s="5" t="s">
        <v>427</v>
      </c>
      <c r="H22" s="5" t="s">
        <v>428</v>
      </c>
      <c r="I22" s="5" t="s">
        <v>346</v>
      </c>
      <c r="J22" s="5"/>
      <c r="K22" s="5" t="s">
        <v>429</v>
      </c>
      <c r="L22" s="5" t="s">
        <v>142</v>
      </c>
    </row>
    <row r="23" customFormat="false" ht="26.85" hidden="false" customHeight="false" outlineLevel="0" collapsed="false">
      <c r="A23" s="2" t="s">
        <v>1002</v>
      </c>
      <c r="B23" s="5" t="s">
        <v>1003</v>
      </c>
      <c r="C23" s="5" t="s">
        <v>132</v>
      </c>
      <c r="D23" s="5" t="s">
        <v>424</v>
      </c>
      <c r="E23" s="5" t="s">
        <v>425</v>
      </c>
      <c r="F23" s="2" t="s">
        <v>426</v>
      </c>
      <c r="G23" s="5" t="s">
        <v>427</v>
      </c>
      <c r="H23" s="5" t="s">
        <v>428</v>
      </c>
      <c r="I23" s="5" t="s">
        <v>346</v>
      </c>
      <c r="J23" s="5"/>
      <c r="K23" s="5" t="s">
        <v>429</v>
      </c>
      <c r="L23" s="5" t="s">
        <v>142</v>
      </c>
    </row>
  </sheetData>
  <autoFilter ref="A1:L23"/>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1004</v>
      </c>
      <c r="B2" s="5" t="s">
        <v>1005</v>
      </c>
      <c r="C2" s="5" t="s">
        <v>119</v>
      </c>
      <c r="D2" s="5" t="s">
        <v>31</v>
      </c>
      <c r="E2" s="5" t="s">
        <v>123</v>
      </c>
      <c r="F2" s="2" t="s">
        <v>344</v>
      </c>
      <c r="G2" s="5" t="s">
        <v>345</v>
      </c>
      <c r="H2" s="5" t="s">
        <v>265</v>
      </c>
      <c r="I2" s="5" t="s">
        <v>346</v>
      </c>
      <c r="J2" s="5" t="s">
        <v>1006</v>
      </c>
      <c r="K2" s="5" t="s">
        <v>1007</v>
      </c>
      <c r="L2" s="5" t="s">
        <v>131</v>
      </c>
    </row>
    <row r="3" customFormat="false" ht="26.85" hidden="false" customHeight="false" outlineLevel="0" collapsed="false">
      <c r="A3" s="2" t="s">
        <v>1008</v>
      </c>
      <c r="B3" s="5" t="s">
        <v>1009</v>
      </c>
      <c r="C3" s="5" t="s">
        <v>119</v>
      </c>
      <c r="D3" s="5" t="s">
        <v>34</v>
      </c>
      <c r="E3" s="5" t="s">
        <v>1010</v>
      </c>
      <c r="F3" s="2" t="s">
        <v>1011</v>
      </c>
      <c r="G3" s="5" t="s">
        <v>345</v>
      </c>
      <c r="H3" s="5" t="s">
        <v>265</v>
      </c>
      <c r="I3" s="5" t="s">
        <v>488</v>
      </c>
      <c r="J3" s="5" t="s">
        <v>1012</v>
      </c>
      <c r="K3" s="5" t="s">
        <v>1013</v>
      </c>
      <c r="L3" s="5" t="s">
        <v>131</v>
      </c>
    </row>
    <row r="4" customFormat="false" ht="26.85" hidden="false" customHeight="false" outlineLevel="0" collapsed="false">
      <c r="A4" s="2" t="s">
        <v>1014</v>
      </c>
      <c r="B4" s="5" t="s">
        <v>1015</v>
      </c>
      <c r="C4" s="5" t="s">
        <v>119</v>
      </c>
      <c r="D4" s="5" t="s">
        <v>30</v>
      </c>
      <c r="E4" s="5" t="s">
        <v>123</v>
      </c>
      <c r="F4" s="2" t="s">
        <v>344</v>
      </c>
      <c r="G4" s="5" t="s">
        <v>345</v>
      </c>
      <c r="H4" s="5" t="s">
        <v>265</v>
      </c>
      <c r="I4" s="5" t="s">
        <v>346</v>
      </c>
      <c r="J4" s="5" t="s">
        <v>1016</v>
      </c>
      <c r="K4" s="5" t="s">
        <v>1017</v>
      </c>
      <c r="L4" s="5" t="s">
        <v>131</v>
      </c>
    </row>
    <row r="5" customFormat="false" ht="26.85" hidden="false" customHeight="false" outlineLevel="0" collapsed="false">
      <c r="A5" s="2" t="s">
        <v>1018</v>
      </c>
      <c r="B5" s="5" t="s">
        <v>1019</v>
      </c>
      <c r="C5" s="5" t="s">
        <v>119</v>
      </c>
      <c r="D5" s="5" t="s">
        <v>30</v>
      </c>
      <c r="E5" s="5" t="s">
        <v>123</v>
      </c>
      <c r="F5" s="2" t="s">
        <v>344</v>
      </c>
      <c r="G5" s="5" t="s">
        <v>1020</v>
      </c>
      <c r="H5" s="5" t="s">
        <v>104</v>
      </c>
      <c r="I5" s="5" t="s">
        <v>346</v>
      </c>
      <c r="J5" s="5" t="s">
        <v>1021</v>
      </c>
      <c r="K5" s="5" t="s">
        <v>1022</v>
      </c>
      <c r="L5" s="5" t="s">
        <v>131</v>
      </c>
    </row>
    <row r="6" customFormat="false" ht="26.85" hidden="false" customHeight="false" outlineLevel="0" collapsed="false">
      <c r="A6" s="2" t="s">
        <v>1023</v>
      </c>
      <c r="B6" s="5" t="s">
        <v>1024</v>
      </c>
      <c r="C6" s="5" t="s">
        <v>119</v>
      </c>
      <c r="D6" s="5" t="s">
        <v>33</v>
      </c>
      <c r="E6" s="5" t="s">
        <v>123</v>
      </c>
      <c r="F6" s="2" t="s">
        <v>344</v>
      </c>
      <c r="G6" s="5" t="s">
        <v>345</v>
      </c>
      <c r="H6" s="5" t="s">
        <v>265</v>
      </c>
      <c r="I6" s="5" t="s">
        <v>368</v>
      </c>
      <c r="J6" s="5" t="s">
        <v>1025</v>
      </c>
      <c r="K6" s="5" t="s">
        <v>1026</v>
      </c>
      <c r="L6" s="5" t="s">
        <v>131</v>
      </c>
    </row>
    <row r="7" customFormat="false" ht="26.85" hidden="false" customHeight="false" outlineLevel="0" collapsed="false">
      <c r="A7" s="2" t="s">
        <v>1027</v>
      </c>
      <c r="B7" s="5" t="s">
        <v>1028</v>
      </c>
      <c r="C7" s="5" t="s">
        <v>119</v>
      </c>
      <c r="D7" s="5" t="s">
        <v>31</v>
      </c>
      <c r="E7" s="5" t="s">
        <v>123</v>
      </c>
      <c r="F7" s="2" t="s">
        <v>344</v>
      </c>
      <c r="G7" s="5" t="s">
        <v>345</v>
      </c>
      <c r="H7" s="5" t="s">
        <v>265</v>
      </c>
      <c r="I7" s="5" t="s">
        <v>346</v>
      </c>
      <c r="J7" s="5" t="s">
        <v>1029</v>
      </c>
      <c r="K7" s="5" t="s">
        <v>1030</v>
      </c>
      <c r="L7" s="5" t="s">
        <v>131</v>
      </c>
    </row>
    <row r="8" customFormat="false" ht="26.85" hidden="false" customHeight="false" outlineLevel="0" collapsed="false">
      <c r="A8" s="2" t="s">
        <v>1031</v>
      </c>
      <c r="B8" s="5" t="s">
        <v>1032</v>
      </c>
      <c r="C8" s="5" t="s">
        <v>119</v>
      </c>
      <c r="D8" s="5" t="s">
        <v>32</v>
      </c>
      <c r="E8" s="5" t="s">
        <v>123</v>
      </c>
      <c r="F8" s="2" t="s">
        <v>344</v>
      </c>
      <c r="G8" s="5" t="s">
        <v>345</v>
      </c>
      <c r="H8" s="5" t="s">
        <v>265</v>
      </c>
      <c r="I8" s="5" t="s">
        <v>346</v>
      </c>
      <c r="J8" s="5" t="s">
        <v>1033</v>
      </c>
      <c r="K8" s="5" t="s">
        <v>1034</v>
      </c>
      <c r="L8" s="5" t="s">
        <v>131</v>
      </c>
    </row>
    <row r="9" customFormat="false" ht="26.85" hidden="false" customHeight="false" outlineLevel="0" collapsed="false">
      <c r="A9" s="2" t="s">
        <v>1035</v>
      </c>
      <c r="B9" s="5" t="s">
        <v>1036</v>
      </c>
      <c r="C9" s="5" t="s">
        <v>119</v>
      </c>
      <c r="D9" s="5" t="s">
        <v>32</v>
      </c>
      <c r="E9" s="5" t="s">
        <v>123</v>
      </c>
      <c r="F9" s="2" t="s">
        <v>344</v>
      </c>
      <c r="G9" s="5" t="s">
        <v>345</v>
      </c>
      <c r="H9" s="5" t="s">
        <v>265</v>
      </c>
      <c r="I9" s="5" t="s">
        <v>346</v>
      </c>
      <c r="J9" s="5" t="s">
        <v>1037</v>
      </c>
      <c r="K9" s="5" t="s">
        <v>1038</v>
      </c>
      <c r="L9" s="5" t="s">
        <v>131</v>
      </c>
    </row>
    <row r="10" customFormat="false" ht="26.85" hidden="false" customHeight="false" outlineLevel="0" collapsed="false">
      <c r="A10" s="2" t="s">
        <v>1039</v>
      </c>
      <c r="B10" s="5" t="s">
        <v>1040</v>
      </c>
      <c r="C10" s="5" t="s">
        <v>119</v>
      </c>
      <c r="D10" s="5" t="s">
        <v>30</v>
      </c>
      <c r="E10" s="5" t="s">
        <v>123</v>
      </c>
      <c r="F10" s="2" t="s">
        <v>344</v>
      </c>
      <c r="G10" s="5" t="s">
        <v>345</v>
      </c>
      <c r="H10" s="5" t="s">
        <v>265</v>
      </c>
      <c r="I10" s="5" t="s">
        <v>346</v>
      </c>
      <c r="J10" s="5" t="s">
        <v>1041</v>
      </c>
      <c r="K10" s="5" t="s">
        <v>1042</v>
      </c>
      <c r="L10" s="5" t="s">
        <v>131</v>
      </c>
    </row>
    <row r="11" customFormat="false" ht="26.85" hidden="false" customHeight="false" outlineLevel="0" collapsed="false">
      <c r="A11" s="2" t="s">
        <v>1043</v>
      </c>
      <c r="B11" s="5" t="s">
        <v>1044</v>
      </c>
      <c r="C11" s="5" t="s">
        <v>119</v>
      </c>
      <c r="D11" s="5" t="s">
        <v>32</v>
      </c>
      <c r="E11" s="5" t="s">
        <v>123</v>
      </c>
      <c r="F11" s="2" t="s">
        <v>344</v>
      </c>
      <c r="G11" s="5" t="s">
        <v>345</v>
      </c>
      <c r="H11" s="5" t="s">
        <v>265</v>
      </c>
      <c r="I11" s="5" t="s">
        <v>346</v>
      </c>
      <c r="J11" s="5" t="s">
        <v>1045</v>
      </c>
      <c r="K11" s="5" t="s">
        <v>1046</v>
      </c>
      <c r="L11" s="5" t="s">
        <v>131</v>
      </c>
    </row>
    <row r="12" customFormat="false" ht="26.85" hidden="false" customHeight="false" outlineLevel="0" collapsed="false">
      <c r="A12" s="2" t="s">
        <v>1047</v>
      </c>
      <c r="B12" s="5" t="s">
        <v>1048</v>
      </c>
      <c r="C12" s="5" t="s">
        <v>119</v>
      </c>
      <c r="D12" s="5" t="s">
        <v>32</v>
      </c>
      <c r="E12" s="5" t="s">
        <v>123</v>
      </c>
      <c r="F12" s="2" t="s">
        <v>344</v>
      </c>
      <c r="G12" s="5" t="s">
        <v>1049</v>
      </c>
      <c r="H12" s="5" t="s">
        <v>104</v>
      </c>
      <c r="I12" s="5" t="s">
        <v>346</v>
      </c>
      <c r="J12" s="5" t="s">
        <v>1050</v>
      </c>
      <c r="K12" s="5" t="s">
        <v>1051</v>
      </c>
      <c r="L12" s="5" t="s">
        <v>131</v>
      </c>
    </row>
    <row r="13" customFormat="false" ht="39.55" hidden="false" customHeight="false" outlineLevel="0" collapsed="false">
      <c r="A13" s="8" t="s">
        <v>1052</v>
      </c>
      <c r="B13" s="9" t="s">
        <v>1053</v>
      </c>
      <c r="C13" s="9" t="s">
        <v>317</v>
      </c>
      <c r="D13" s="9" t="s">
        <v>557</v>
      </c>
      <c r="E13" s="9" t="s">
        <v>558</v>
      </c>
      <c r="F13" s="8" t="s">
        <v>559</v>
      </c>
      <c r="G13" s="9" t="s">
        <v>155</v>
      </c>
      <c r="H13" s="9" t="s">
        <v>190</v>
      </c>
      <c r="I13" s="9" t="s">
        <v>488</v>
      </c>
      <c r="J13" s="9"/>
      <c r="K13" s="9" t="s">
        <v>325</v>
      </c>
      <c r="L13" s="9" t="s">
        <v>142</v>
      </c>
    </row>
    <row r="14" customFormat="false" ht="39.55" hidden="false" customHeight="false" outlineLevel="0" collapsed="false">
      <c r="A14" s="8" t="s">
        <v>1054</v>
      </c>
      <c r="B14" s="9" t="s">
        <v>1055</v>
      </c>
      <c r="C14" s="9" t="s">
        <v>317</v>
      </c>
      <c r="D14" s="9" t="s">
        <v>557</v>
      </c>
      <c r="E14" s="9" t="s">
        <v>558</v>
      </c>
      <c r="F14" s="8" t="s">
        <v>559</v>
      </c>
      <c r="G14" s="9" t="s">
        <v>155</v>
      </c>
      <c r="H14" s="9" t="s">
        <v>190</v>
      </c>
      <c r="I14" s="9" t="s">
        <v>488</v>
      </c>
      <c r="J14" s="9"/>
      <c r="K14" s="9" t="s">
        <v>325</v>
      </c>
      <c r="L14" s="9" t="s">
        <v>142</v>
      </c>
    </row>
    <row r="15" customFormat="false" ht="39.55" hidden="false" customHeight="false" outlineLevel="0" collapsed="false">
      <c r="A15" s="2" t="s">
        <v>1056</v>
      </c>
      <c r="B15" s="5" t="s">
        <v>1057</v>
      </c>
      <c r="C15" s="5" t="s">
        <v>317</v>
      </c>
      <c r="D15" s="5" t="s">
        <v>557</v>
      </c>
      <c r="E15" s="5" t="s">
        <v>558</v>
      </c>
      <c r="F15" s="2" t="s">
        <v>559</v>
      </c>
      <c r="G15" s="5" t="s">
        <v>121</v>
      </c>
      <c r="H15" s="5" t="s">
        <v>265</v>
      </c>
      <c r="I15" s="5" t="s">
        <v>488</v>
      </c>
      <c r="J15" s="5"/>
      <c r="K15" s="5" t="s">
        <v>325</v>
      </c>
      <c r="L15" s="5" t="s">
        <v>142</v>
      </c>
    </row>
    <row r="16" customFormat="false" ht="26.85" hidden="false" customHeight="false" outlineLevel="0" collapsed="false">
      <c r="A16" s="2" t="s">
        <v>1058</v>
      </c>
      <c r="B16" s="5" t="s">
        <v>1059</v>
      </c>
      <c r="C16" s="5" t="s">
        <v>132</v>
      </c>
      <c r="D16" s="5" t="s">
        <v>424</v>
      </c>
      <c r="E16" s="5" t="s">
        <v>425</v>
      </c>
      <c r="F16" s="2" t="s">
        <v>426</v>
      </c>
      <c r="G16" s="5" t="s">
        <v>427</v>
      </c>
      <c r="H16" s="5" t="s">
        <v>428</v>
      </c>
      <c r="I16" s="5" t="s">
        <v>346</v>
      </c>
      <c r="J16" s="5"/>
      <c r="K16" s="5" t="s">
        <v>429</v>
      </c>
      <c r="L16" s="5" t="s">
        <v>142</v>
      </c>
    </row>
    <row r="17" customFormat="false" ht="26.85" hidden="false" customHeight="false" outlineLevel="0" collapsed="false">
      <c r="A17" s="2" t="s">
        <v>1060</v>
      </c>
      <c r="B17" s="5" t="s">
        <v>1061</v>
      </c>
      <c r="C17" s="5" t="s">
        <v>132</v>
      </c>
      <c r="D17" s="5" t="s">
        <v>424</v>
      </c>
      <c r="E17" s="5" t="s">
        <v>425</v>
      </c>
      <c r="F17" s="2" t="s">
        <v>426</v>
      </c>
      <c r="G17" s="5" t="s">
        <v>427</v>
      </c>
      <c r="H17" s="5" t="s">
        <v>428</v>
      </c>
      <c r="I17" s="5" t="s">
        <v>346</v>
      </c>
      <c r="J17" s="5"/>
      <c r="K17" s="5" t="s">
        <v>429</v>
      </c>
      <c r="L17" s="5" t="s">
        <v>142</v>
      </c>
    </row>
    <row r="18" customFormat="false" ht="26.85" hidden="false" customHeight="false" outlineLevel="0" collapsed="false">
      <c r="A18" s="2" t="s">
        <v>1062</v>
      </c>
      <c r="B18" s="5" t="s">
        <v>1063</v>
      </c>
      <c r="C18" s="5" t="s">
        <v>132</v>
      </c>
      <c r="D18" s="5" t="s">
        <v>424</v>
      </c>
      <c r="E18" s="5" t="s">
        <v>425</v>
      </c>
      <c r="F18" s="2" t="s">
        <v>426</v>
      </c>
      <c r="G18" s="5" t="s">
        <v>427</v>
      </c>
      <c r="H18" s="5" t="s">
        <v>428</v>
      </c>
      <c r="I18" s="5" t="s">
        <v>346</v>
      </c>
      <c r="J18" s="5"/>
      <c r="K18" s="5" t="s">
        <v>429</v>
      </c>
      <c r="L18" s="5" t="s">
        <v>142</v>
      </c>
    </row>
  </sheetData>
  <autoFilter ref="A1:L18"/>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1064</v>
      </c>
      <c r="B2" s="5" t="s">
        <v>1065</v>
      </c>
      <c r="C2" s="5" t="s">
        <v>119</v>
      </c>
      <c r="D2" s="5" t="s">
        <v>31</v>
      </c>
      <c r="E2" s="5" t="s">
        <v>123</v>
      </c>
      <c r="F2" s="2" t="s">
        <v>344</v>
      </c>
      <c r="G2" s="5" t="s">
        <v>382</v>
      </c>
      <c r="H2" s="5" t="s">
        <v>265</v>
      </c>
      <c r="I2" s="5" t="s">
        <v>346</v>
      </c>
      <c r="J2" s="5" t="s">
        <v>1066</v>
      </c>
      <c r="K2" s="5" t="s">
        <v>1067</v>
      </c>
      <c r="L2" s="5" t="s">
        <v>131</v>
      </c>
    </row>
    <row r="3" customFormat="false" ht="26.85" hidden="false" customHeight="false" outlineLevel="0" collapsed="false">
      <c r="A3" s="2" t="s">
        <v>1068</v>
      </c>
      <c r="B3" s="5" t="s">
        <v>1069</v>
      </c>
      <c r="C3" s="5" t="s">
        <v>119</v>
      </c>
      <c r="D3" s="5" t="s">
        <v>33</v>
      </c>
      <c r="E3" s="5" t="s">
        <v>123</v>
      </c>
      <c r="F3" s="2" t="s">
        <v>344</v>
      </c>
      <c r="G3" s="5" t="s">
        <v>345</v>
      </c>
      <c r="H3" s="5" t="s">
        <v>265</v>
      </c>
      <c r="I3" s="5" t="s">
        <v>368</v>
      </c>
      <c r="J3" s="5" t="s">
        <v>1070</v>
      </c>
      <c r="K3" s="5" t="s">
        <v>1071</v>
      </c>
      <c r="L3" s="5" t="s">
        <v>131</v>
      </c>
    </row>
    <row r="4" customFormat="false" ht="26.85" hidden="false" customHeight="false" outlineLevel="0" collapsed="false">
      <c r="A4" s="2" t="s">
        <v>1072</v>
      </c>
      <c r="B4" s="5" t="s">
        <v>1073</v>
      </c>
      <c r="C4" s="5" t="s">
        <v>119</v>
      </c>
      <c r="D4" s="5" t="s">
        <v>33</v>
      </c>
      <c r="E4" s="5" t="s">
        <v>123</v>
      </c>
      <c r="F4" s="2" t="s">
        <v>344</v>
      </c>
      <c r="G4" s="5" t="s">
        <v>345</v>
      </c>
      <c r="H4" s="5" t="s">
        <v>265</v>
      </c>
      <c r="I4" s="5" t="s">
        <v>368</v>
      </c>
      <c r="J4" s="5" t="s">
        <v>1074</v>
      </c>
      <c r="K4" s="5" t="s">
        <v>1075</v>
      </c>
      <c r="L4" s="5" t="s">
        <v>131</v>
      </c>
    </row>
    <row r="5" customFormat="false" ht="26.85" hidden="false" customHeight="false" outlineLevel="0" collapsed="false">
      <c r="A5" s="2" t="s">
        <v>1076</v>
      </c>
      <c r="B5" s="5" t="s">
        <v>1077</v>
      </c>
      <c r="C5" s="5" t="s">
        <v>119</v>
      </c>
      <c r="D5" s="5" t="s">
        <v>31</v>
      </c>
      <c r="E5" s="5" t="s">
        <v>123</v>
      </c>
      <c r="F5" s="2" t="s">
        <v>344</v>
      </c>
      <c r="G5" s="5" t="s">
        <v>373</v>
      </c>
      <c r="H5" s="5" t="s">
        <v>104</v>
      </c>
      <c r="I5" s="5" t="s">
        <v>346</v>
      </c>
      <c r="J5" s="5" t="s">
        <v>1078</v>
      </c>
      <c r="K5" s="5" t="s">
        <v>1079</v>
      </c>
      <c r="L5" s="5" t="s">
        <v>131</v>
      </c>
    </row>
    <row r="6" customFormat="false" ht="26.85" hidden="false" customHeight="false" outlineLevel="0" collapsed="false">
      <c r="A6" s="2" t="s">
        <v>1080</v>
      </c>
      <c r="B6" s="5" t="s">
        <v>1081</v>
      </c>
      <c r="C6" s="5" t="s">
        <v>119</v>
      </c>
      <c r="D6" s="5" t="s">
        <v>34</v>
      </c>
      <c r="E6" s="5" t="s">
        <v>123</v>
      </c>
      <c r="F6" s="2" t="s">
        <v>344</v>
      </c>
      <c r="G6" s="5" t="s">
        <v>345</v>
      </c>
      <c r="H6" s="5" t="s">
        <v>265</v>
      </c>
      <c r="I6" s="5" t="s">
        <v>346</v>
      </c>
      <c r="J6" s="5" t="s">
        <v>1082</v>
      </c>
      <c r="K6" s="5" t="s">
        <v>1083</v>
      </c>
      <c r="L6" s="5" t="s">
        <v>131</v>
      </c>
    </row>
    <row r="7" customFormat="false" ht="26.85" hidden="false" customHeight="false" outlineLevel="0" collapsed="false">
      <c r="A7" s="8" t="s">
        <v>1084</v>
      </c>
      <c r="B7" s="9" t="s">
        <v>1085</v>
      </c>
      <c r="C7" s="9" t="s">
        <v>119</v>
      </c>
      <c r="D7" s="9" t="s">
        <v>33</v>
      </c>
      <c r="E7" s="9" t="s">
        <v>123</v>
      </c>
      <c r="F7" s="8" t="s">
        <v>344</v>
      </c>
      <c r="G7" s="9" t="s">
        <v>695</v>
      </c>
      <c r="H7" s="9" t="s">
        <v>190</v>
      </c>
      <c r="I7" s="9" t="s">
        <v>488</v>
      </c>
      <c r="J7" s="9" t="s">
        <v>1086</v>
      </c>
      <c r="K7" s="9" t="s">
        <v>1087</v>
      </c>
      <c r="L7" s="9" t="s">
        <v>131</v>
      </c>
    </row>
    <row r="8" customFormat="false" ht="26.85" hidden="false" customHeight="false" outlineLevel="0" collapsed="false">
      <c r="A8" s="2" t="s">
        <v>1088</v>
      </c>
      <c r="B8" s="5" t="s">
        <v>1089</v>
      </c>
      <c r="C8" s="5" t="s">
        <v>119</v>
      </c>
      <c r="D8" s="5" t="s">
        <v>33</v>
      </c>
      <c r="E8" s="5" t="s">
        <v>123</v>
      </c>
      <c r="F8" s="2" t="s">
        <v>344</v>
      </c>
      <c r="G8" s="5" t="s">
        <v>345</v>
      </c>
      <c r="H8" s="5" t="s">
        <v>265</v>
      </c>
      <c r="I8" s="5" t="s">
        <v>368</v>
      </c>
      <c r="J8" s="5" t="s">
        <v>1090</v>
      </c>
      <c r="K8" s="5" t="s">
        <v>1091</v>
      </c>
      <c r="L8" s="5" t="s">
        <v>131</v>
      </c>
    </row>
    <row r="9" customFormat="false" ht="26.85" hidden="false" customHeight="false" outlineLevel="0" collapsed="false">
      <c r="A9" s="2" t="s">
        <v>1092</v>
      </c>
      <c r="B9" s="5" t="s">
        <v>1093</v>
      </c>
      <c r="C9" s="5" t="s">
        <v>119</v>
      </c>
      <c r="D9" s="5" t="s">
        <v>30</v>
      </c>
      <c r="E9" s="5" t="s">
        <v>123</v>
      </c>
      <c r="F9" s="2" t="s">
        <v>344</v>
      </c>
      <c r="G9" s="5" t="s">
        <v>345</v>
      </c>
      <c r="H9" s="5" t="s">
        <v>265</v>
      </c>
      <c r="I9" s="5" t="s">
        <v>346</v>
      </c>
      <c r="J9" s="5" t="s">
        <v>1094</v>
      </c>
      <c r="K9" s="5" t="s">
        <v>1095</v>
      </c>
      <c r="L9" s="5" t="s">
        <v>131</v>
      </c>
    </row>
    <row r="10" customFormat="false" ht="26.85" hidden="false" customHeight="false" outlineLevel="0" collapsed="false">
      <c r="A10" s="2" t="s">
        <v>1096</v>
      </c>
      <c r="B10" s="5" t="s">
        <v>1097</v>
      </c>
      <c r="C10" s="5" t="s">
        <v>119</v>
      </c>
      <c r="D10" s="5" t="s">
        <v>34</v>
      </c>
      <c r="E10" s="5" t="s">
        <v>123</v>
      </c>
      <c r="F10" s="2" t="s">
        <v>344</v>
      </c>
      <c r="G10" s="5" t="s">
        <v>345</v>
      </c>
      <c r="H10" s="5" t="s">
        <v>265</v>
      </c>
      <c r="I10" s="5" t="s">
        <v>346</v>
      </c>
      <c r="J10" s="5" t="s">
        <v>1098</v>
      </c>
      <c r="K10" s="5" t="s">
        <v>1099</v>
      </c>
      <c r="L10" s="5" t="s">
        <v>131</v>
      </c>
    </row>
    <row r="11" customFormat="false" ht="26.85" hidden="false" customHeight="false" outlineLevel="0" collapsed="false">
      <c r="A11" s="2" t="s">
        <v>1100</v>
      </c>
      <c r="B11" s="5" t="s">
        <v>1101</v>
      </c>
      <c r="C11" s="5" t="s">
        <v>132</v>
      </c>
      <c r="D11" s="5" t="s">
        <v>424</v>
      </c>
      <c r="E11" s="5" t="s">
        <v>425</v>
      </c>
      <c r="F11" s="2" t="s">
        <v>426</v>
      </c>
      <c r="G11" s="5" t="s">
        <v>427</v>
      </c>
      <c r="H11" s="5" t="s">
        <v>428</v>
      </c>
      <c r="I11" s="5" t="s">
        <v>346</v>
      </c>
      <c r="J11" s="5"/>
      <c r="K11" s="5" t="s">
        <v>429</v>
      </c>
      <c r="L11" s="5" t="s">
        <v>142</v>
      </c>
    </row>
    <row r="12" customFormat="false" ht="26.85" hidden="false" customHeight="false" outlineLevel="0" collapsed="false">
      <c r="A12" s="2" t="s">
        <v>1102</v>
      </c>
      <c r="B12" s="5" t="s">
        <v>1103</v>
      </c>
      <c r="C12" s="5" t="s">
        <v>132</v>
      </c>
      <c r="D12" s="5" t="s">
        <v>424</v>
      </c>
      <c r="E12" s="5" t="s">
        <v>425</v>
      </c>
      <c r="F12" s="2" t="s">
        <v>426</v>
      </c>
      <c r="G12" s="5" t="s">
        <v>427</v>
      </c>
      <c r="H12" s="5" t="s">
        <v>428</v>
      </c>
      <c r="I12" s="5" t="s">
        <v>346</v>
      </c>
      <c r="J12" s="5"/>
      <c r="K12" s="5" t="s">
        <v>429</v>
      </c>
      <c r="L12" s="5" t="s">
        <v>142</v>
      </c>
    </row>
    <row r="13" customFormat="false" ht="26.85" hidden="false" customHeight="false" outlineLevel="0" collapsed="false">
      <c r="A13" s="2" t="s">
        <v>1104</v>
      </c>
      <c r="B13" s="5" t="s">
        <v>1105</v>
      </c>
      <c r="C13" s="5" t="s">
        <v>132</v>
      </c>
      <c r="D13" s="5" t="s">
        <v>424</v>
      </c>
      <c r="E13" s="5" t="s">
        <v>425</v>
      </c>
      <c r="F13" s="2" t="s">
        <v>426</v>
      </c>
      <c r="G13" s="5" t="s">
        <v>427</v>
      </c>
      <c r="H13" s="5" t="s">
        <v>428</v>
      </c>
      <c r="I13" s="5" t="s">
        <v>346</v>
      </c>
      <c r="J13" s="5"/>
      <c r="K13" s="5" t="s">
        <v>429</v>
      </c>
      <c r="L13" s="5" t="s">
        <v>142</v>
      </c>
    </row>
  </sheetData>
  <autoFilter ref="A1:L13"/>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1106</v>
      </c>
      <c r="B2" s="5" t="s">
        <v>1107</v>
      </c>
      <c r="C2" s="5" t="s">
        <v>119</v>
      </c>
      <c r="D2" s="5" t="s">
        <v>32</v>
      </c>
      <c r="E2" s="5" t="s">
        <v>123</v>
      </c>
      <c r="F2" s="2" t="s">
        <v>344</v>
      </c>
      <c r="G2" s="5" t="s">
        <v>445</v>
      </c>
      <c r="H2" s="5" t="s">
        <v>104</v>
      </c>
      <c r="I2" s="5" t="s">
        <v>346</v>
      </c>
      <c r="J2" s="5" t="s">
        <v>1108</v>
      </c>
      <c r="K2" s="5" t="s">
        <v>1109</v>
      </c>
      <c r="L2" s="5" t="s">
        <v>131</v>
      </c>
    </row>
    <row r="3" customFormat="false" ht="26.85" hidden="false" customHeight="false" outlineLevel="0" collapsed="false">
      <c r="A3" s="8" t="s">
        <v>1110</v>
      </c>
      <c r="B3" s="9" t="s">
        <v>1111</v>
      </c>
      <c r="C3" s="9" t="s">
        <v>119</v>
      </c>
      <c r="D3" s="9" t="s">
        <v>34</v>
      </c>
      <c r="E3" s="9" t="s">
        <v>123</v>
      </c>
      <c r="F3" s="8" t="s">
        <v>344</v>
      </c>
      <c r="G3" s="9" t="s">
        <v>695</v>
      </c>
      <c r="H3" s="9" t="s">
        <v>190</v>
      </c>
      <c r="I3" s="9" t="s">
        <v>488</v>
      </c>
      <c r="J3" s="9" t="s">
        <v>1112</v>
      </c>
      <c r="K3" s="9" t="s">
        <v>1113</v>
      </c>
      <c r="L3" s="9" t="s">
        <v>131</v>
      </c>
    </row>
    <row r="4" customFormat="false" ht="26.85" hidden="false" customHeight="false" outlineLevel="0" collapsed="false">
      <c r="A4" s="2" t="s">
        <v>1114</v>
      </c>
      <c r="B4" s="5" t="s">
        <v>1115</v>
      </c>
      <c r="C4" s="5" t="s">
        <v>119</v>
      </c>
      <c r="D4" s="5" t="s">
        <v>34</v>
      </c>
      <c r="E4" s="5" t="s">
        <v>123</v>
      </c>
      <c r="F4" s="2" t="s">
        <v>344</v>
      </c>
      <c r="G4" s="5" t="s">
        <v>1116</v>
      </c>
      <c r="H4" s="5" t="s">
        <v>104</v>
      </c>
      <c r="I4" s="5" t="s">
        <v>346</v>
      </c>
      <c r="J4" s="5" t="s">
        <v>1117</v>
      </c>
      <c r="K4" s="5" t="s">
        <v>1118</v>
      </c>
      <c r="L4" s="5" t="s">
        <v>131</v>
      </c>
    </row>
    <row r="5" customFormat="false" ht="26.85" hidden="false" customHeight="false" outlineLevel="0" collapsed="false">
      <c r="A5" s="2" t="s">
        <v>1119</v>
      </c>
      <c r="B5" s="5" t="s">
        <v>1120</v>
      </c>
      <c r="C5" s="5" t="s">
        <v>119</v>
      </c>
      <c r="D5" s="5" t="s">
        <v>33</v>
      </c>
      <c r="E5" s="5" t="s">
        <v>123</v>
      </c>
      <c r="F5" s="2" t="s">
        <v>344</v>
      </c>
      <c r="G5" s="5" t="s">
        <v>345</v>
      </c>
      <c r="H5" s="5" t="s">
        <v>265</v>
      </c>
      <c r="I5" s="5" t="s">
        <v>368</v>
      </c>
      <c r="J5" s="5" t="s">
        <v>1121</v>
      </c>
      <c r="K5" s="5" t="s">
        <v>1122</v>
      </c>
      <c r="L5" s="5" t="s">
        <v>131</v>
      </c>
    </row>
    <row r="6" customFormat="false" ht="26.85" hidden="false" customHeight="false" outlineLevel="0" collapsed="false">
      <c r="A6" s="2" t="s">
        <v>1123</v>
      </c>
      <c r="B6" s="5" t="s">
        <v>1124</v>
      </c>
      <c r="C6" s="5" t="s">
        <v>119</v>
      </c>
      <c r="D6" s="5" t="s">
        <v>33</v>
      </c>
      <c r="E6" s="5" t="s">
        <v>123</v>
      </c>
      <c r="F6" s="2" t="s">
        <v>344</v>
      </c>
      <c r="G6" s="5" t="s">
        <v>345</v>
      </c>
      <c r="H6" s="5" t="s">
        <v>265</v>
      </c>
      <c r="I6" s="5" t="s">
        <v>346</v>
      </c>
      <c r="J6" s="5" t="s">
        <v>1125</v>
      </c>
      <c r="K6" s="5" t="s">
        <v>1126</v>
      </c>
      <c r="L6" s="5" t="s">
        <v>131</v>
      </c>
    </row>
    <row r="7" customFormat="false" ht="26.85" hidden="false" customHeight="false" outlineLevel="0" collapsed="false">
      <c r="A7" s="8" t="s">
        <v>1127</v>
      </c>
      <c r="B7" s="9" t="s">
        <v>1128</v>
      </c>
      <c r="C7" s="9" t="s">
        <v>119</v>
      </c>
      <c r="D7" s="9" t="s">
        <v>30</v>
      </c>
      <c r="E7" s="9" t="s">
        <v>123</v>
      </c>
      <c r="F7" s="8" t="s">
        <v>344</v>
      </c>
      <c r="G7" s="9" t="s">
        <v>695</v>
      </c>
      <c r="H7" s="9" t="s">
        <v>190</v>
      </c>
      <c r="I7" s="9" t="s">
        <v>488</v>
      </c>
      <c r="J7" s="9" t="s">
        <v>1129</v>
      </c>
      <c r="K7" s="9" t="s">
        <v>1130</v>
      </c>
      <c r="L7" s="9" t="s">
        <v>131</v>
      </c>
    </row>
    <row r="8" customFormat="false" ht="26.85" hidden="false" customHeight="false" outlineLevel="0" collapsed="false">
      <c r="A8" s="2" t="s">
        <v>1131</v>
      </c>
      <c r="B8" s="5" t="s">
        <v>1132</v>
      </c>
      <c r="C8" s="5" t="s">
        <v>119</v>
      </c>
      <c r="D8" s="5" t="s">
        <v>31</v>
      </c>
      <c r="E8" s="5" t="s">
        <v>123</v>
      </c>
      <c r="F8" s="2" t="s">
        <v>344</v>
      </c>
      <c r="G8" s="5" t="s">
        <v>345</v>
      </c>
      <c r="H8" s="5" t="s">
        <v>265</v>
      </c>
      <c r="I8" s="5" t="s">
        <v>346</v>
      </c>
      <c r="J8" s="5" t="s">
        <v>1133</v>
      </c>
      <c r="K8" s="5" t="s">
        <v>1134</v>
      </c>
      <c r="L8" s="5" t="s">
        <v>131</v>
      </c>
    </row>
    <row r="9" customFormat="false" ht="39.55" hidden="false" customHeight="false" outlineLevel="0" collapsed="false">
      <c r="A9" s="8" t="s">
        <v>1135</v>
      </c>
      <c r="B9" s="9" t="s">
        <v>1136</v>
      </c>
      <c r="C9" s="9" t="s">
        <v>317</v>
      </c>
      <c r="D9" s="9" t="s">
        <v>557</v>
      </c>
      <c r="E9" s="9" t="s">
        <v>558</v>
      </c>
      <c r="F9" s="8" t="s">
        <v>559</v>
      </c>
      <c r="G9" s="9" t="s">
        <v>155</v>
      </c>
      <c r="H9" s="9" t="s">
        <v>190</v>
      </c>
      <c r="I9" s="9" t="s">
        <v>488</v>
      </c>
      <c r="J9" s="9"/>
      <c r="K9" s="9" t="s">
        <v>325</v>
      </c>
      <c r="L9" s="9" t="s">
        <v>142</v>
      </c>
    </row>
    <row r="10" customFormat="false" ht="39.55" hidden="false" customHeight="false" outlineLevel="0" collapsed="false">
      <c r="A10" s="2" t="s">
        <v>1137</v>
      </c>
      <c r="B10" s="5" t="s">
        <v>1138</v>
      </c>
      <c r="C10" s="5" t="s">
        <v>317</v>
      </c>
      <c r="D10" s="5" t="s">
        <v>557</v>
      </c>
      <c r="E10" s="5" t="s">
        <v>558</v>
      </c>
      <c r="F10" s="2" t="s">
        <v>559</v>
      </c>
      <c r="G10" s="5" t="s">
        <v>1139</v>
      </c>
      <c r="H10" s="5" t="s">
        <v>265</v>
      </c>
      <c r="I10" s="5" t="s">
        <v>488</v>
      </c>
      <c r="J10" s="5"/>
      <c r="K10" s="5" t="s">
        <v>325</v>
      </c>
      <c r="L10" s="5" t="s">
        <v>142</v>
      </c>
    </row>
    <row r="11" customFormat="false" ht="39.55" hidden="false" customHeight="false" outlineLevel="0" collapsed="false">
      <c r="A11" s="2" t="s">
        <v>1140</v>
      </c>
      <c r="B11" s="5" t="s">
        <v>1141</v>
      </c>
      <c r="C11" s="5" t="s">
        <v>177</v>
      </c>
      <c r="D11" s="5" t="s">
        <v>418</v>
      </c>
      <c r="E11" s="5" t="s">
        <v>413</v>
      </c>
      <c r="F11" s="2" t="s">
        <v>420</v>
      </c>
      <c r="G11" s="5" t="s">
        <v>121</v>
      </c>
      <c r="H11" s="5" t="s">
        <v>265</v>
      </c>
      <c r="I11" s="5" t="s">
        <v>346</v>
      </c>
      <c r="J11" s="5"/>
      <c r="K11" s="5" t="s">
        <v>187</v>
      </c>
      <c r="L11" s="5" t="s">
        <v>142</v>
      </c>
    </row>
    <row r="12" customFormat="false" ht="15" hidden="false" customHeight="false" outlineLevel="0" collapsed="false">
      <c r="A12" s="2" t="s">
        <v>1142</v>
      </c>
      <c r="B12" s="5" t="s">
        <v>1143</v>
      </c>
      <c r="C12" s="5" t="s">
        <v>264</v>
      </c>
      <c r="D12" s="5" t="s">
        <v>828</v>
      </c>
      <c r="E12" s="5" t="s">
        <v>302</v>
      </c>
      <c r="F12" s="2" t="s">
        <v>829</v>
      </c>
      <c r="G12" s="5" t="s">
        <v>1144</v>
      </c>
      <c r="H12" s="5" t="s">
        <v>265</v>
      </c>
      <c r="I12" s="5" t="s">
        <v>346</v>
      </c>
      <c r="J12" s="5"/>
      <c r="K12" s="5" t="s">
        <v>273</v>
      </c>
      <c r="L12" s="5" t="s">
        <v>142</v>
      </c>
    </row>
    <row r="13" customFormat="false" ht="15" hidden="false" customHeight="false" outlineLevel="0" collapsed="false">
      <c r="A13" s="2" t="s">
        <v>1145</v>
      </c>
      <c r="B13" s="5" t="s">
        <v>1146</v>
      </c>
      <c r="C13" s="5" t="s">
        <v>264</v>
      </c>
      <c r="D13" s="5" t="s">
        <v>828</v>
      </c>
      <c r="E13" s="5" t="s">
        <v>302</v>
      </c>
      <c r="F13" s="2" t="s">
        <v>829</v>
      </c>
      <c r="G13" s="5" t="s">
        <v>1147</v>
      </c>
      <c r="H13" s="5" t="s">
        <v>265</v>
      </c>
      <c r="I13" s="5" t="s">
        <v>346</v>
      </c>
      <c r="J13" s="5"/>
      <c r="K13" s="5" t="s">
        <v>273</v>
      </c>
      <c r="L13" s="5" t="s">
        <v>142</v>
      </c>
    </row>
    <row r="14" customFormat="false" ht="26.85" hidden="false" customHeight="false" outlineLevel="0" collapsed="false">
      <c r="A14" s="2" t="s">
        <v>1148</v>
      </c>
      <c r="B14" s="5" t="s">
        <v>1149</v>
      </c>
      <c r="C14" s="5" t="s">
        <v>132</v>
      </c>
      <c r="D14" s="5" t="s">
        <v>424</v>
      </c>
      <c r="E14" s="5" t="s">
        <v>425</v>
      </c>
      <c r="F14" s="2" t="s">
        <v>426</v>
      </c>
      <c r="G14" s="5" t="s">
        <v>427</v>
      </c>
      <c r="H14" s="5" t="s">
        <v>428</v>
      </c>
      <c r="I14" s="5" t="s">
        <v>346</v>
      </c>
      <c r="J14" s="5"/>
      <c r="K14" s="5" t="s">
        <v>429</v>
      </c>
      <c r="L14" s="5" t="s">
        <v>142</v>
      </c>
    </row>
    <row r="15" customFormat="false" ht="26.85" hidden="false" customHeight="false" outlineLevel="0" collapsed="false">
      <c r="A15" s="2" t="s">
        <v>1150</v>
      </c>
      <c r="B15" s="5" t="s">
        <v>1151</v>
      </c>
      <c r="C15" s="5" t="s">
        <v>132</v>
      </c>
      <c r="D15" s="5" t="s">
        <v>424</v>
      </c>
      <c r="E15" s="5" t="s">
        <v>425</v>
      </c>
      <c r="F15" s="2" t="s">
        <v>426</v>
      </c>
      <c r="G15" s="5" t="s">
        <v>427</v>
      </c>
      <c r="H15" s="5" t="s">
        <v>428</v>
      </c>
      <c r="I15" s="5" t="s">
        <v>346</v>
      </c>
      <c r="J15" s="5"/>
      <c r="K15" s="5" t="s">
        <v>429</v>
      </c>
      <c r="L15" s="5" t="s">
        <v>142</v>
      </c>
    </row>
    <row r="16" customFormat="false" ht="26.85" hidden="false" customHeight="false" outlineLevel="0" collapsed="false">
      <c r="A16" s="2" t="s">
        <v>1152</v>
      </c>
      <c r="B16" s="5" t="s">
        <v>1153</v>
      </c>
      <c r="C16" s="5" t="s">
        <v>132</v>
      </c>
      <c r="D16" s="5" t="s">
        <v>424</v>
      </c>
      <c r="E16" s="5" t="s">
        <v>425</v>
      </c>
      <c r="F16" s="2" t="s">
        <v>426</v>
      </c>
      <c r="G16" s="5" t="s">
        <v>427</v>
      </c>
      <c r="H16" s="5" t="s">
        <v>428</v>
      </c>
      <c r="I16" s="5" t="s">
        <v>346</v>
      </c>
      <c r="J16" s="5"/>
      <c r="K16" s="5" t="s">
        <v>429</v>
      </c>
      <c r="L16" s="5" t="s">
        <v>142</v>
      </c>
    </row>
    <row r="17" customFormat="false" ht="26.85" hidden="false" customHeight="false" outlineLevel="0" collapsed="false">
      <c r="A17" s="2" t="s">
        <v>1154</v>
      </c>
      <c r="B17" s="5" t="s">
        <v>1155</v>
      </c>
      <c r="C17" s="5" t="s">
        <v>132</v>
      </c>
      <c r="D17" s="5" t="s">
        <v>424</v>
      </c>
      <c r="E17" s="5" t="s">
        <v>425</v>
      </c>
      <c r="F17" s="2" t="s">
        <v>426</v>
      </c>
      <c r="G17" s="5" t="s">
        <v>427</v>
      </c>
      <c r="H17" s="5" t="s">
        <v>428</v>
      </c>
      <c r="I17" s="5" t="s">
        <v>346</v>
      </c>
      <c r="J17" s="5"/>
      <c r="K17" s="5" t="s">
        <v>429</v>
      </c>
      <c r="L17" s="5" t="s">
        <v>142</v>
      </c>
    </row>
    <row r="18" customFormat="false" ht="26.85" hidden="false" customHeight="false" outlineLevel="0" collapsed="false">
      <c r="A18" s="2" t="s">
        <v>1156</v>
      </c>
      <c r="B18" s="5" t="s">
        <v>1157</v>
      </c>
      <c r="C18" s="5" t="s">
        <v>132</v>
      </c>
      <c r="D18" s="5" t="s">
        <v>424</v>
      </c>
      <c r="E18" s="5" t="s">
        <v>425</v>
      </c>
      <c r="F18" s="2" t="s">
        <v>426</v>
      </c>
      <c r="G18" s="5" t="s">
        <v>427</v>
      </c>
      <c r="H18" s="5" t="s">
        <v>428</v>
      </c>
      <c r="I18" s="5" t="s">
        <v>346</v>
      </c>
      <c r="J18" s="5"/>
      <c r="K18" s="5" t="s">
        <v>429</v>
      </c>
      <c r="L18" s="5" t="s">
        <v>142</v>
      </c>
    </row>
    <row r="19" customFormat="false" ht="26.85" hidden="false" customHeight="false" outlineLevel="0" collapsed="false">
      <c r="A19" s="2" t="s">
        <v>1158</v>
      </c>
      <c r="B19" s="5" t="s">
        <v>1159</v>
      </c>
      <c r="C19" s="5" t="s">
        <v>132</v>
      </c>
      <c r="D19" s="5" t="s">
        <v>424</v>
      </c>
      <c r="E19" s="5" t="s">
        <v>425</v>
      </c>
      <c r="F19" s="2" t="s">
        <v>426</v>
      </c>
      <c r="G19" s="5" t="s">
        <v>427</v>
      </c>
      <c r="H19" s="5" t="s">
        <v>428</v>
      </c>
      <c r="I19" s="5" t="s">
        <v>346</v>
      </c>
      <c r="J19" s="5"/>
      <c r="K19" s="5" t="s">
        <v>429</v>
      </c>
      <c r="L19" s="5" t="s">
        <v>142</v>
      </c>
    </row>
  </sheetData>
  <autoFilter ref="A1:L1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8" t="s">
        <v>1160</v>
      </c>
      <c r="B2" s="9" t="s">
        <v>1161</v>
      </c>
      <c r="C2" s="9" t="s">
        <v>119</v>
      </c>
      <c r="D2" s="9" t="s">
        <v>30</v>
      </c>
      <c r="E2" s="9" t="s">
        <v>123</v>
      </c>
      <c r="F2" s="8" t="s">
        <v>344</v>
      </c>
      <c r="G2" s="9" t="s">
        <v>695</v>
      </c>
      <c r="H2" s="9" t="s">
        <v>190</v>
      </c>
      <c r="I2" s="9" t="s">
        <v>488</v>
      </c>
      <c r="J2" s="9" t="s">
        <v>1162</v>
      </c>
      <c r="K2" s="9" t="s">
        <v>1163</v>
      </c>
      <c r="L2" s="9" t="s">
        <v>131</v>
      </c>
    </row>
    <row r="3" customFormat="false" ht="26.85" hidden="false" customHeight="false" outlineLevel="0" collapsed="false">
      <c r="A3" s="2" t="s">
        <v>1164</v>
      </c>
      <c r="B3" s="5" t="s">
        <v>1165</v>
      </c>
      <c r="C3" s="5" t="s">
        <v>119</v>
      </c>
      <c r="D3" s="5" t="s">
        <v>32</v>
      </c>
      <c r="E3" s="5" t="s">
        <v>123</v>
      </c>
      <c r="F3" s="2" t="s">
        <v>344</v>
      </c>
      <c r="G3" s="5" t="s">
        <v>345</v>
      </c>
      <c r="H3" s="5" t="s">
        <v>265</v>
      </c>
      <c r="I3" s="5" t="s">
        <v>346</v>
      </c>
      <c r="J3" s="5" t="s">
        <v>1166</v>
      </c>
      <c r="K3" s="5" t="s">
        <v>1167</v>
      </c>
      <c r="L3" s="5" t="s">
        <v>131</v>
      </c>
    </row>
    <row r="4" customFormat="false" ht="26.85" hidden="false" customHeight="false" outlineLevel="0" collapsed="false">
      <c r="A4" s="2" t="s">
        <v>1168</v>
      </c>
      <c r="B4" s="5" t="s">
        <v>1169</v>
      </c>
      <c r="C4" s="5" t="s">
        <v>119</v>
      </c>
      <c r="D4" s="5" t="s">
        <v>34</v>
      </c>
      <c r="E4" s="5" t="s">
        <v>123</v>
      </c>
      <c r="F4" s="2" t="s">
        <v>344</v>
      </c>
      <c r="G4" s="5" t="s">
        <v>345</v>
      </c>
      <c r="H4" s="5" t="s">
        <v>265</v>
      </c>
      <c r="I4" s="5" t="s">
        <v>346</v>
      </c>
      <c r="J4" s="5" t="s">
        <v>1170</v>
      </c>
      <c r="K4" s="5" t="s">
        <v>1171</v>
      </c>
      <c r="L4" s="5" t="s">
        <v>131</v>
      </c>
    </row>
    <row r="5" customFormat="false" ht="26.85" hidden="false" customHeight="false" outlineLevel="0" collapsed="false">
      <c r="A5" s="2" t="s">
        <v>1172</v>
      </c>
      <c r="B5" s="5" t="s">
        <v>1173</v>
      </c>
      <c r="C5" s="5" t="s">
        <v>119</v>
      </c>
      <c r="D5" s="5" t="s">
        <v>30</v>
      </c>
      <c r="E5" s="5" t="s">
        <v>123</v>
      </c>
      <c r="F5" s="2" t="s">
        <v>344</v>
      </c>
      <c r="G5" s="5" t="s">
        <v>345</v>
      </c>
      <c r="H5" s="5" t="s">
        <v>265</v>
      </c>
      <c r="I5" s="5" t="s">
        <v>346</v>
      </c>
      <c r="J5" s="5" t="s">
        <v>1174</v>
      </c>
      <c r="K5" s="5" t="s">
        <v>1175</v>
      </c>
      <c r="L5" s="5" t="s">
        <v>131</v>
      </c>
    </row>
    <row r="6" customFormat="false" ht="26.85" hidden="false" customHeight="false" outlineLevel="0" collapsed="false">
      <c r="A6" s="2" t="s">
        <v>1176</v>
      </c>
      <c r="B6" s="5" t="s">
        <v>1177</v>
      </c>
      <c r="C6" s="5" t="s">
        <v>119</v>
      </c>
      <c r="D6" s="5" t="s">
        <v>32</v>
      </c>
      <c r="E6" s="5" t="s">
        <v>123</v>
      </c>
      <c r="F6" s="2" t="s">
        <v>344</v>
      </c>
      <c r="G6" s="5" t="s">
        <v>690</v>
      </c>
      <c r="H6" s="5" t="s">
        <v>104</v>
      </c>
      <c r="I6" s="5" t="s">
        <v>346</v>
      </c>
      <c r="J6" s="5" t="s">
        <v>1178</v>
      </c>
      <c r="K6" s="5" t="s">
        <v>1179</v>
      </c>
      <c r="L6" s="5" t="s">
        <v>131</v>
      </c>
    </row>
    <row r="7" customFormat="false" ht="26.85" hidden="false" customHeight="false" outlineLevel="0" collapsed="false">
      <c r="A7" s="2" t="s">
        <v>1180</v>
      </c>
      <c r="B7" s="5" t="s">
        <v>1181</v>
      </c>
      <c r="C7" s="5" t="s">
        <v>119</v>
      </c>
      <c r="D7" s="5" t="s">
        <v>31</v>
      </c>
      <c r="E7" s="5" t="s">
        <v>123</v>
      </c>
      <c r="F7" s="2" t="s">
        <v>344</v>
      </c>
      <c r="G7" s="5" t="s">
        <v>373</v>
      </c>
      <c r="H7" s="5" t="s">
        <v>104</v>
      </c>
      <c r="I7" s="5" t="s">
        <v>346</v>
      </c>
      <c r="J7" s="5" t="s">
        <v>1182</v>
      </c>
      <c r="K7" s="5" t="s">
        <v>1183</v>
      </c>
      <c r="L7" s="5" t="s">
        <v>131</v>
      </c>
    </row>
    <row r="8" customFormat="false" ht="26.85" hidden="false" customHeight="false" outlineLevel="0" collapsed="false">
      <c r="A8" s="2" t="s">
        <v>1184</v>
      </c>
      <c r="B8" s="5" t="s">
        <v>1185</v>
      </c>
      <c r="C8" s="5" t="s">
        <v>119</v>
      </c>
      <c r="D8" s="5" t="s">
        <v>33</v>
      </c>
      <c r="E8" s="5" t="s">
        <v>123</v>
      </c>
      <c r="F8" s="2" t="s">
        <v>344</v>
      </c>
      <c r="G8" s="5" t="s">
        <v>345</v>
      </c>
      <c r="H8" s="5" t="s">
        <v>265</v>
      </c>
      <c r="I8" s="5" t="s">
        <v>346</v>
      </c>
      <c r="J8" s="5" t="s">
        <v>1186</v>
      </c>
      <c r="K8" s="5" t="s">
        <v>1187</v>
      </c>
      <c r="L8" s="5" t="s">
        <v>131</v>
      </c>
    </row>
    <row r="9" customFormat="false" ht="39.55" hidden="false" customHeight="false" outlineLevel="0" collapsed="false">
      <c r="A9" s="2" t="s">
        <v>1188</v>
      </c>
      <c r="B9" s="5" t="s">
        <v>1189</v>
      </c>
      <c r="C9" s="5" t="s">
        <v>716</v>
      </c>
      <c r="D9" s="5" t="s">
        <v>717</v>
      </c>
      <c r="E9" s="5" t="s">
        <v>718</v>
      </c>
      <c r="F9" s="2" t="s">
        <v>719</v>
      </c>
      <c r="G9" s="5" t="s">
        <v>720</v>
      </c>
      <c r="H9" s="5" t="s">
        <v>428</v>
      </c>
      <c r="I9" s="5" t="s">
        <v>488</v>
      </c>
      <c r="J9" s="5"/>
      <c r="K9" s="5" t="s">
        <v>197</v>
      </c>
      <c r="L9" s="5" t="s">
        <v>142</v>
      </c>
    </row>
    <row r="10" customFormat="false" ht="26.85" hidden="false" customHeight="false" outlineLevel="0" collapsed="false">
      <c r="A10" s="8" t="s">
        <v>1190</v>
      </c>
      <c r="B10" s="9" t="s">
        <v>1191</v>
      </c>
      <c r="C10" s="9" t="s">
        <v>153</v>
      </c>
      <c r="D10" s="9" t="s">
        <v>485</v>
      </c>
      <c r="E10" s="9" t="s">
        <v>486</v>
      </c>
      <c r="F10" s="8" t="s">
        <v>487</v>
      </c>
      <c r="G10" s="9" t="s">
        <v>190</v>
      </c>
      <c r="H10" s="9" t="s">
        <v>190</v>
      </c>
      <c r="I10" s="9" t="s">
        <v>488</v>
      </c>
      <c r="J10" s="9"/>
      <c r="K10" s="9" t="s">
        <v>164</v>
      </c>
      <c r="L10" s="9" t="s">
        <v>131</v>
      </c>
    </row>
    <row r="11" customFormat="false" ht="26.85" hidden="false" customHeight="false" outlineLevel="0" collapsed="false">
      <c r="A11" s="8" t="s">
        <v>1192</v>
      </c>
      <c r="B11" s="9" t="s">
        <v>1193</v>
      </c>
      <c r="C11" s="9" t="s">
        <v>153</v>
      </c>
      <c r="D11" s="9" t="s">
        <v>485</v>
      </c>
      <c r="E11" s="9" t="s">
        <v>486</v>
      </c>
      <c r="F11" s="8" t="s">
        <v>487</v>
      </c>
      <c r="G11" s="9" t="s">
        <v>190</v>
      </c>
      <c r="H11" s="9" t="s">
        <v>190</v>
      </c>
      <c r="I11" s="9" t="s">
        <v>488</v>
      </c>
      <c r="J11" s="9"/>
      <c r="K11" s="9" t="s">
        <v>164</v>
      </c>
      <c r="L11" s="9" t="s">
        <v>131</v>
      </c>
    </row>
    <row r="12" customFormat="false" ht="26.85" hidden="false" customHeight="false" outlineLevel="0" collapsed="false">
      <c r="A12" s="2" t="s">
        <v>1194</v>
      </c>
      <c r="B12" s="5" t="s">
        <v>1195</v>
      </c>
      <c r="C12" s="5" t="s">
        <v>132</v>
      </c>
      <c r="D12" s="5" t="s">
        <v>424</v>
      </c>
      <c r="E12" s="5" t="s">
        <v>425</v>
      </c>
      <c r="F12" s="2" t="s">
        <v>426</v>
      </c>
      <c r="G12" s="5" t="s">
        <v>427</v>
      </c>
      <c r="H12" s="5" t="s">
        <v>428</v>
      </c>
      <c r="I12" s="5" t="s">
        <v>346</v>
      </c>
      <c r="J12" s="5"/>
      <c r="K12" s="5" t="s">
        <v>429</v>
      </c>
      <c r="L12" s="5" t="s">
        <v>142</v>
      </c>
    </row>
  </sheetData>
  <autoFilter ref="A1:L1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1196</v>
      </c>
      <c r="B2" s="5" t="s">
        <v>1197</v>
      </c>
      <c r="C2" s="5" t="s">
        <v>119</v>
      </c>
      <c r="D2" s="5" t="s">
        <v>33</v>
      </c>
      <c r="E2" s="5" t="s">
        <v>123</v>
      </c>
      <c r="F2" s="2" t="s">
        <v>344</v>
      </c>
      <c r="G2" s="5" t="s">
        <v>345</v>
      </c>
      <c r="H2" s="5" t="s">
        <v>265</v>
      </c>
      <c r="I2" s="5" t="s">
        <v>488</v>
      </c>
      <c r="J2" s="5" t="s">
        <v>1198</v>
      </c>
      <c r="K2" s="5" t="s">
        <v>1199</v>
      </c>
      <c r="L2" s="5" t="s">
        <v>131</v>
      </c>
    </row>
    <row r="3" customFormat="false" ht="26.85" hidden="false" customHeight="false" outlineLevel="0" collapsed="false">
      <c r="A3" s="2" t="s">
        <v>1200</v>
      </c>
      <c r="B3" s="5" t="s">
        <v>1201</v>
      </c>
      <c r="C3" s="5" t="s">
        <v>119</v>
      </c>
      <c r="D3" s="5" t="s">
        <v>31</v>
      </c>
      <c r="E3" s="5" t="s">
        <v>123</v>
      </c>
      <c r="F3" s="2" t="s">
        <v>344</v>
      </c>
      <c r="G3" s="5" t="s">
        <v>1202</v>
      </c>
      <c r="H3" s="5" t="s">
        <v>104</v>
      </c>
      <c r="I3" s="5" t="s">
        <v>346</v>
      </c>
      <c r="J3" s="5" t="s">
        <v>1203</v>
      </c>
      <c r="K3" s="5" t="s">
        <v>1204</v>
      </c>
      <c r="L3" s="5" t="s">
        <v>131</v>
      </c>
    </row>
    <row r="4" customFormat="false" ht="26.85" hidden="false" customHeight="false" outlineLevel="0" collapsed="false">
      <c r="A4" s="2" t="s">
        <v>1205</v>
      </c>
      <c r="B4" s="5" t="s">
        <v>1206</v>
      </c>
      <c r="C4" s="5" t="s">
        <v>119</v>
      </c>
      <c r="D4" s="5" t="s">
        <v>33</v>
      </c>
      <c r="E4" s="5" t="s">
        <v>123</v>
      </c>
      <c r="F4" s="2" t="s">
        <v>344</v>
      </c>
      <c r="G4" s="5" t="s">
        <v>345</v>
      </c>
      <c r="H4" s="5" t="s">
        <v>265</v>
      </c>
      <c r="I4" s="5" t="s">
        <v>346</v>
      </c>
      <c r="J4" s="5" t="s">
        <v>1207</v>
      </c>
      <c r="K4" s="5" t="s">
        <v>1208</v>
      </c>
      <c r="L4" s="5" t="s">
        <v>131</v>
      </c>
    </row>
    <row r="5" customFormat="false" ht="26.85" hidden="false" customHeight="false" outlineLevel="0" collapsed="false">
      <c r="A5" s="2" t="s">
        <v>1209</v>
      </c>
      <c r="B5" s="5" t="s">
        <v>1210</v>
      </c>
      <c r="C5" s="5" t="s">
        <v>119</v>
      </c>
      <c r="D5" s="5" t="s">
        <v>32</v>
      </c>
      <c r="E5" s="5" t="s">
        <v>123</v>
      </c>
      <c r="F5" s="2" t="s">
        <v>344</v>
      </c>
      <c r="G5" s="5" t="s">
        <v>450</v>
      </c>
      <c r="H5" s="5" t="s">
        <v>104</v>
      </c>
      <c r="I5" s="5" t="s">
        <v>346</v>
      </c>
      <c r="J5" s="5" t="s">
        <v>1211</v>
      </c>
      <c r="K5" s="5" t="s">
        <v>1212</v>
      </c>
      <c r="L5" s="5" t="s">
        <v>131</v>
      </c>
    </row>
    <row r="6" customFormat="false" ht="26.85" hidden="false" customHeight="false" outlineLevel="0" collapsed="false">
      <c r="A6" s="2" t="s">
        <v>1213</v>
      </c>
      <c r="B6" s="5" t="s">
        <v>1214</v>
      </c>
      <c r="C6" s="5" t="s">
        <v>119</v>
      </c>
      <c r="D6" s="5" t="s">
        <v>33</v>
      </c>
      <c r="E6" s="5" t="s">
        <v>123</v>
      </c>
      <c r="F6" s="2" t="s">
        <v>344</v>
      </c>
      <c r="G6" s="5" t="s">
        <v>345</v>
      </c>
      <c r="H6" s="5" t="s">
        <v>265</v>
      </c>
      <c r="I6" s="5" t="s">
        <v>346</v>
      </c>
      <c r="J6" s="5" t="s">
        <v>1215</v>
      </c>
      <c r="K6" s="5" t="s">
        <v>1216</v>
      </c>
      <c r="L6" s="5" t="s">
        <v>131</v>
      </c>
    </row>
    <row r="7" customFormat="false" ht="26.85" hidden="false" customHeight="false" outlineLevel="0" collapsed="false">
      <c r="A7" s="2" t="s">
        <v>1217</v>
      </c>
      <c r="B7" s="5" t="s">
        <v>1218</v>
      </c>
      <c r="C7" s="5" t="s">
        <v>119</v>
      </c>
      <c r="D7" s="5" t="s">
        <v>30</v>
      </c>
      <c r="E7" s="5" t="s">
        <v>123</v>
      </c>
      <c r="F7" s="2" t="s">
        <v>344</v>
      </c>
      <c r="G7" s="5" t="s">
        <v>445</v>
      </c>
      <c r="H7" s="5" t="s">
        <v>104</v>
      </c>
      <c r="I7" s="5" t="s">
        <v>346</v>
      </c>
      <c r="J7" s="5" t="s">
        <v>1219</v>
      </c>
      <c r="K7" s="5" t="s">
        <v>1220</v>
      </c>
      <c r="L7" s="5" t="s">
        <v>131</v>
      </c>
    </row>
    <row r="8" customFormat="false" ht="26.85" hidden="false" customHeight="false" outlineLevel="0" collapsed="false">
      <c r="A8" s="2" t="s">
        <v>1221</v>
      </c>
      <c r="B8" s="5" t="s">
        <v>1222</v>
      </c>
      <c r="C8" s="5" t="s">
        <v>119</v>
      </c>
      <c r="D8" s="5" t="s">
        <v>33</v>
      </c>
      <c r="E8" s="5" t="s">
        <v>123</v>
      </c>
      <c r="F8" s="2" t="s">
        <v>344</v>
      </c>
      <c r="G8" s="5" t="s">
        <v>345</v>
      </c>
      <c r="H8" s="5" t="s">
        <v>265</v>
      </c>
      <c r="I8" s="5" t="s">
        <v>368</v>
      </c>
      <c r="J8" s="5" t="s">
        <v>1223</v>
      </c>
      <c r="K8" s="5" t="s">
        <v>1224</v>
      </c>
      <c r="L8" s="5" t="s">
        <v>131</v>
      </c>
    </row>
    <row r="9" customFormat="false" ht="26.85" hidden="false" customHeight="false" outlineLevel="0" collapsed="false">
      <c r="A9" s="2" t="s">
        <v>1225</v>
      </c>
      <c r="B9" s="5" t="s">
        <v>1226</v>
      </c>
      <c r="C9" s="5" t="s">
        <v>119</v>
      </c>
      <c r="D9" s="5" t="s">
        <v>31</v>
      </c>
      <c r="E9" s="5" t="s">
        <v>123</v>
      </c>
      <c r="F9" s="2" t="s">
        <v>344</v>
      </c>
      <c r="G9" s="5" t="s">
        <v>1227</v>
      </c>
      <c r="H9" s="5" t="s">
        <v>104</v>
      </c>
      <c r="I9" s="5" t="s">
        <v>346</v>
      </c>
      <c r="J9" s="5" t="s">
        <v>1228</v>
      </c>
      <c r="K9" s="5" t="s">
        <v>1229</v>
      </c>
      <c r="L9" s="5" t="s">
        <v>131</v>
      </c>
    </row>
    <row r="10" customFormat="false" ht="26.85" hidden="false" customHeight="false" outlineLevel="0" collapsed="false">
      <c r="A10" s="2" t="s">
        <v>1230</v>
      </c>
      <c r="B10" s="5" t="s">
        <v>1231</v>
      </c>
      <c r="C10" s="5" t="s">
        <v>119</v>
      </c>
      <c r="D10" s="5" t="s">
        <v>34</v>
      </c>
      <c r="E10" s="5" t="s">
        <v>123</v>
      </c>
      <c r="F10" s="2" t="s">
        <v>344</v>
      </c>
      <c r="G10" s="5" t="s">
        <v>1232</v>
      </c>
      <c r="H10" s="5" t="s">
        <v>104</v>
      </c>
      <c r="I10" s="5" t="s">
        <v>346</v>
      </c>
      <c r="J10" s="5" t="s">
        <v>1233</v>
      </c>
      <c r="K10" s="5" t="s">
        <v>1234</v>
      </c>
      <c r="L10" s="5" t="s">
        <v>131</v>
      </c>
    </row>
    <row r="11" customFormat="false" ht="26.85" hidden="false" customHeight="false" outlineLevel="0" collapsed="false">
      <c r="A11" s="2" t="s">
        <v>1235</v>
      </c>
      <c r="B11" s="5" t="s">
        <v>1236</v>
      </c>
      <c r="C11" s="5" t="s">
        <v>119</v>
      </c>
      <c r="D11" s="5" t="s">
        <v>33</v>
      </c>
      <c r="E11" s="5" t="s">
        <v>123</v>
      </c>
      <c r="F11" s="2" t="s">
        <v>344</v>
      </c>
      <c r="G11" s="5" t="s">
        <v>345</v>
      </c>
      <c r="H11" s="5" t="s">
        <v>265</v>
      </c>
      <c r="I11" s="5" t="s">
        <v>346</v>
      </c>
      <c r="J11" s="5" t="s">
        <v>1237</v>
      </c>
      <c r="K11" s="5" t="s">
        <v>1238</v>
      </c>
      <c r="L11" s="5" t="s">
        <v>131</v>
      </c>
    </row>
    <row r="12" customFormat="false" ht="39.55" hidden="false" customHeight="false" outlineLevel="0" collapsed="false">
      <c r="A12" s="2" t="s">
        <v>1239</v>
      </c>
      <c r="B12" s="5" t="s">
        <v>1240</v>
      </c>
      <c r="C12" s="5" t="s">
        <v>177</v>
      </c>
      <c r="D12" s="5" t="s">
        <v>418</v>
      </c>
      <c r="E12" s="5" t="s">
        <v>1241</v>
      </c>
      <c r="F12" s="2" t="s">
        <v>420</v>
      </c>
      <c r="G12" s="5" t="s">
        <v>421</v>
      </c>
      <c r="H12" s="5" t="s">
        <v>104</v>
      </c>
      <c r="I12" s="5" t="s">
        <v>346</v>
      </c>
      <c r="J12" s="5"/>
      <c r="K12" s="5" t="s">
        <v>187</v>
      </c>
      <c r="L12" s="5" t="s">
        <v>142</v>
      </c>
    </row>
    <row r="13" customFormat="false" ht="15" hidden="false" customHeight="false" outlineLevel="0" collapsed="false">
      <c r="A13" s="2" t="s">
        <v>1242</v>
      </c>
      <c r="B13" s="5" t="s">
        <v>1243</v>
      </c>
      <c r="C13" s="5" t="s">
        <v>264</v>
      </c>
      <c r="D13" s="5" t="s">
        <v>828</v>
      </c>
      <c r="E13" s="5" t="s">
        <v>302</v>
      </c>
      <c r="F13" s="2" t="s">
        <v>829</v>
      </c>
      <c r="G13" s="5" t="s">
        <v>1244</v>
      </c>
      <c r="H13" s="5" t="s">
        <v>265</v>
      </c>
      <c r="I13" s="5" t="s">
        <v>346</v>
      </c>
      <c r="J13" s="5"/>
      <c r="K13" s="5" t="s">
        <v>273</v>
      </c>
      <c r="L13" s="5" t="s">
        <v>142</v>
      </c>
    </row>
    <row r="14" customFormat="false" ht="15" hidden="false" customHeight="false" outlineLevel="0" collapsed="false">
      <c r="A14" s="2" t="s">
        <v>1245</v>
      </c>
      <c r="B14" s="5" t="s">
        <v>1246</v>
      </c>
      <c r="C14" s="5" t="s">
        <v>264</v>
      </c>
      <c r="D14" s="5" t="s">
        <v>828</v>
      </c>
      <c r="E14" s="5" t="s">
        <v>302</v>
      </c>
      <c r="F14" s="2" t="s">
        <v>829</v>
      </c>
      <c r="G14" s="5" t="s">
        <v>1247</v>
      </c>
      <c r="H14" s="5" t="s">
        <v>104</v>
      </c>
      <c r="I14" s="5" t="s">
        <v>1248</v>
      </c>
      <c r="J14" s="5"/>
      <c r="K14" s="5" t="s">
        <v>273</v>
      </c>
      <c r="L14" s="5" t="s">
        <v>142</v>
      </c>
    </row>
    <row r="15" customFormat="false" ht="26.85" hidden="false" customHeight="false" outlineLevel="0" collapsed="false">
      <c r="A15" s="2" t="s">
        <v>1249</v>
      </c>
      <c r="B15" s="5" t="s">
        <v>1250</v>
      </c>
      <c r="C15" s="5" t="s">
        <v>132</v>
      </c>
      <c r="D15" s="5" t="s">
        <v>424</v>
      </c>
      <c r="E15" s="5" t="s">
        <v>425</v>
      </c>
      <c r="F15" s="2" t="s">
        <v>426</v>
      </c>
      <c r="G15" s="5" t="s">
        <v>427</v>
      </c>
      <c r="H15" s="5" t="s">
        <v>428</v>
      </c>
      <c r="I15" s="5" t="s">
        <v>346</v>
      </c>
      <c r="J15" s="5"/>
      <c r="K15" s="5" t="s">
        <v>429</v>
      </c>
      <c r="L15" s="5" t="s">
        <v>142</v>
      </c>
    </row>
    <row r="16" customFormat="false" ht="26.85" hidden="false" customHeight="false" outlineLevel="0" collapsed="false">
      <c r="A16" s="2" t="s">
        <v>1251</v>
      </c>
      <c r="B16" s="5" t="s">
        <v>1252</v>
      </c>
      <c r="C16" s="5" t="s">
        <v>132</v>
      </c>
      <c r="D16" s="5" t="s">
        <v>424</v>
      </c>
      <c r="E16" s="5" t="s">
        <v>425</v>
      </c>
      <c r="F16" s="2" t="s">
        <v>426</v>
      </c>
      <c r="G16" s="5" t="s">
        <v>427</v>
      </c>
      <c r="H16" s="5" t="s">
        <v>428</v>
      </c>
      <c r="I16" s="5" t="s">
        <v>346</v>
      </c>
      <c r="J16" s="5"/>
      <c r="K16" s="5" t="s">
        <v>429</v>
      </c>
      <c r="L16" s="5" t="s">
        <v>142</v>
      </c>
    </row>
    <row r="17" customFormat="false" ht="26.85" hidden="false" customHeight="false" outlineLevel="0" collapsed="false">
      <c r="A17" s="2" t="s">
        <v>1253</v>
      </c>
      <c r="B17" s="5" t="s">
        <v>1254</v>
      </c>
      <c r="C17" s="5" t="s">
        <v>132</v>
      </c>
      <c r="D17" s="5" t="s">
        <v>424</v>
      </c>
      <c r="E17" s="5" t="s">
        <v>425</v>
      </c>
      <c r="F17" s="2" t="s">
        <v>426</v>
      </c>
      <c r="G17" s="5" t="s">
        <v>427</v>
      </c>
      <c r="H17" s="5" t="s">
        <v>428</v>
      </c>
      <c r="I17" s="5" t="s">
        <v>346</v>
      </c>
      <c r="J17" s="5"/>
      <c r="K17" s="5" t="s">
        <v>429</v>
      </c>
      <c r="L17" s="5" t="s">
        <v>142</v>
      </c>
    </row>
    <row r="18" customFormat="false" ht="26.85" hidden="false" customHeight="false" outlineLevel="0" collapsed="false">
      <c r="A18" s="2" t="s">
        <v>1255</v>
      </c>
      <c r="B18" s="5" t="s">
        <v>1256</v>
      </c>
      <c r="C18" s="5" t="s">
        <v>132</v>
      </c>
      <c r="D18" s="5" t="s">
        <v>424</v>
      </c>
      <c r="E18" s="5" t="s">
        <v>425</v>
      </c>
      <c r="F18" s="2" t="s">
        <v>426</v>
      </c>
      <c r="G18" s="5" t="s">
        <v>427</v>
      </c>
      <c r="H18" s="5" t="s">
        <v>428</v>
      </c>
      <c r="I18" s="5" t="s">
        <v>346</v>
      </c>
      <c r="J18" s="5"/>
      <c r="K18" s="5" t="s">
        <v>429</v>
      </c>
      <c r="L18" s="5" t="s">
        <v>142</v>
      </c>
    </row>
  </sheetData>
  <autoFilter ref="A1:L18"/>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1257</v>
      </c>
      <c r="B2" s="5" t="s">
        <v>1258</v>
      </c>
      <c r="C2" s="5" t="s">
        <v>119</v>
      </c>
      <c r="D2" s="5" t="s">
        <v>32</v>
      </c>
      <c r="E2" s="5" t="s">
        <v>123</v>
      </c>
      <c r="F2" s="2" t="s">
        <v>344</v>
      </c>
      <c r="G2" s="5" t="s">
        <v>1259</v>
      </c>
      <c r="H2" s="5" t="s">
        <v>265</v>
      </c>
      <c r="I2" s="5" t="s">
        <v>346</v>
      </c>
      <c r="J2" s="5" t="s">
        <v>1260</v>
      </c>
      <c r="K2" s="5" t="s">
        <v>1261</v>
      </c>
      <c r="L2" s="5" t="s">
        <v>131</v>
      </c>
    </row>
    <row r="3" customFormat="false" ht="26.85" hidden="false" customHeight="false" outlineLevel="0" collapsed="false">
      <c r="A3" s="2" t="s">
        <v>1262</v>
      </c>
      <c r="B3" s="5" t="s">
        <v>1263</v>
      </c>
      <c r="C3" s="5" t="s">
        <v>119</v>
      </c>
      <c r="D3" s="5" t="s">
        <v>34</v>
      </c>
      <c r="E3" s="5" t="s">
        <v>123</v>
      </c>
      <c r="F3" s="2" t="s">
        <v>344</v>
      </c>
      <c r="G3" s="5" t="s">
        <v>775</v>
      </c>
      <c r="H3" s="5" t="s">
        <v>265</v>
      </c>
      <c r="I3" s="5" t="s">
        <v>346</v>
      </c>
      <c r="J3" s="5" t="s">
        <v>1264</v>
      </c>
      <c r="K3" s="5" t="s">
        <v>1265</v>
      </c>
      <c r="L3" s="5" t="s">
        <v>131</v>
      </c>
    </row>
    <row r="4" customFormat="false" ht="26.85" hidden="false" customHeight="false" outlineLevel="0" collapsed="false">
      <c r="A4" s="2" t="s">
        <v>1266</v>
      </c>
      <c r="B4" s="5" t="s">
        <v>1267</v>
      </c>
      <c r="C4" s="5" t="s">
        <v>119</v>
      </c>
      <c r="D4" s="5" t="s">
        <v>32</v>
      </c>
      <c r="E4" s="5" t="s">
        <v>123</v>
      </c>
      <c r="F4" s="2" t="s">
        <v>344</v>
      </c>
      <c r="G4" s="5" t="s">
        <v>345</v>
      </c>
      <c r="H4" s="5" t="s">
        <v>265</v>
      </c>
      <c r="I4" s="5" t="s">
        <v>346</v>
      </c>
      <c r="J4" s="5" t="s">
        <v>1268</v>
      </c>
      <c r="K4" s="5" t="s">
        <v>1269</v>
      </c>
      <c r="L4" s="5" t="s">
        <v>131</v>
      </c>
    </row>
    <row r="5" customFormat="false" ht="26.85" hidden="false" customHeight="false" outlineLevel="0" collapsed="false">
      <c r="A5" s="2" t="s">
        <v>1270</v>
      </c>
      <c r="B5" s="5" t="s">
        <v>1271</v>
      </c>
      <c r="C5" s="5" t="s">
        <v>119</v>
      </c>
      <c r="D5" s="5" t="s">
        <v>32</v>
      </c>
      <c r="E5" s="5" t="s">
        <v>123</v>
      </c>
      <c r="F5" s="2" t="s">
        <v>344</v>
      </c>
      <c r="G5" s="5" t="s">
        <v>436</v>
      </c>
      <c r="H5" s="5" t="s">
        <v>265</v>
      </c>
      <c r="I5" s="5" t="s">
        <v>346</v>
      </c>
      <c r="J5" s="5" t="s">
        <v>1272</v>
      </c>
      <c r="K5" s="5" t="s">
        <v>1273</v>
      </c>
      <c r="L5" s="5" t="s">
        <v>131</v>
      </c>
    </row>
    <row r="6" customFormat="false" ht="26.85" hidden="false" customHeight="false" outlineLevel="0" collapsed="false">
      <c r="A6" s="2" t="s">
        <v>1274</v>
      </c>
      <c r="B6" s="5" t="s">
        <v>1275</v>
      </c>
      <c r="C6" s="5" t="s">
        <v>119</v>
      </c>
      <c r="D6" s="5" t="s">
        <v>33</v>
      </c>
      <c r="E6" s="5" t="s">
        <v>123</v>
      </c>
      <c r="F6" s="2" t="s">
        <v>344</v>
      </c>
      <c r="G6" s="5" t="s">
        <v>345</v>
      </c>
      <c r="H6" s="5" t="s">
        <v>265</v>
      </c>
      <c r="I6" s="5" t="s">
        <v>346</v>
      </c>
      <c r="J6" s="5" t="s">
        <v>1276</v>
      </c>
      <c r="K6" s="5" t="s">
        <v>1277</v>
      </c>
      <c r="L6" s="5" t="s">
        <v>131</v>
      </c>
    </row>
    <row r="7" customFormat="false" ht="26.85" hidden="false" customHeight="false" outlineLevel="0" collapsed="false">
      <c r="A7" s="2" t="s">
        <v>1278</v>
      </c>
      <c r="B7" s="5" t="s">
        <v>1279</v>
      </c>
      <c r="C7" s="5" t="s">
        <v>119</v>
      </c>
      <c r="D7" s="5" t="s">
        <v>31</v>
      </c>
      <c r="E7" s="5" t="s">
        <v>123</v>
      </c>
      <c r="F7" s="2" t="s">
        <v>344</v>
      </c>
      <c r="G7" s="5" t="s">
        <v>445</v>
      </c>
      <c r="H7" s="5" t="s">
        <v>104</v>
      </c>
      <c r="I7" s="5" t="s">
        <v>346</v>
      </c>
      <c r="J7" s="5" t="s">
        <v>1280</v>
      </c>
      <c r="K7" s="5" t="s">
        <v>1281</v>
      </c>
      <c r="L7" s="5" t="s">
        <v>131</v>
      </c>
    </row>
    <row r="8" customFormat="false" ht="26.85" hidden="false" customHeight="false" outlineLevel="0" collapsed="false">
      <c r="A8" s="2" t="s">
        <v>1282</v>
      </c>
      <c r="B8" s="5" t="s">
        <v>1283</v>
      </c>
      <c r="C8" s="5" t="s">
        <v>119</v>
      </c>
      <c r="D8" s="5" t="s">
        <v>34</v>
      </c>
      <c r="E8" s="5" t="s">
        <v>123</v>
      </c>
      <c r="F8" s="2" t="s">
        <v>344</v>
      </c>
      <c r="G8" s="5" t="s">
        <v>345</v>
      </c>
      <c r="H8" s="5" t="s">
        <v>265</v>
      </c>
      <c r="I8" s="5" t="s">
        <v>346</v>
      </c>
      <c r="J8" s="5" t="s">
        <v>1284</v>
      </c>
      <c r="K8" s="5" t="s">
        <v>1285</v>
      </c>
      <c r="L8" s="5" t="s">
        <v>131</v>
      </c>
    </row>
    <row r="9" customFormat="false" ht="26.85" hidden="false" customHeight="false" outlineLevel="0" collapsed="false">
      <c r="A9" s="8" t="s">
        <v>1286</v>
      </c>
      <c r="B9" s="9" t="s">
        <v>1287</v>
      </c>
      <c r="C9" s="9" t="s">
        <v>153</v>
      </c>
      <c r="D9" s="9" t="s">
        <v>485</v>
      </c>
      <c r="E9" s="9" t="s">
        <v>486</v>
      </c>
      <c r="F9" s="8" t="s">
        <v>487</v>
      </c>
      <c r="G9" s="9" t="s">
        <v>190</v>
      </c>
      <c r="H9" s="9" t="s">
        <v>190</v>
      </c>
      <c r="I9" s="9" t="s">
        <v>488</v>
      </c>
      <c r="J9" s="9"/>
      <c r="K9" s="9" t="s">
        <v>164</v>
      </c>
      <c r="L9" s="9" t="s">
        <v>131</v>
      </c>
    </row>
    <row r="10" customFormat="false" ht="26.85" hidden="false" customHeight="false" outlineLevel="0" collapsed="false">
      <c r="A10" s="8" t="s">
        <v>1288</v>
      </c>
      <c r="B10" s="9" t="s">
        <v>1289</v>
      </c>
      <c r="C10" s="9" t="s">
        <v>153</v>
      </c>
      <c r="D10" s="9" t="s">
        <v>485</v>
      </c>
      <c r="E10" s="9" t="s">
        <v>486</v>
      </c>
      <c r="F10" s="8" t="s">
        <v>487</v>
      </c>
      <c r="G10" s="9" t="s">
        <v>190</v>
      </c>
      <c r="H10" s="9" t="s">
        <v>190</v>
      </c>
      <c r="I10" s="9" t="s">
        <v>488</v>
      </c>
      <c r="J10" s="9"/>
      <c r="K10" s="9" t="s">
        <v>164</v>
      </c>
      <c r="L10" s="9" t="s">
        <v>131</v>
      </c>
    </row>
    <row r="11" customFormat="false" ht="26.85" hidden="false" customHeight="false" outlineLevel="0" collapsed="false">
      <c r="A11" s="8" t="s">
        <v>1290</v>
      </c>
      <c r="B11" s="9" t="s">
        <v>1291</v>
      </c>
      <c r="C11" s="9" t="s">
        <v>153</v>
      </c>
      <c r="D11" s="9" t="s">
        <v>485</v>
      </c>
      <c r="E11" s="9" t="s">
        <v>486</v>
      </c>
      <c r="F11" s="8" t="s">
        <v>487</v>
      </c>
      <c r="G11" s="9" t="s">
        <v>190</v>
      </c>
      <c r="H11" s="9" t="s">
        <v>190</v>
      </c>
      <c r="I11" s="9" t="s">
        <v>488</v>
      </c>
      <c r="J11" s="9"/>
      <c r="K11" s="9" t="s">
        <v>164</v>
      </c>
      <c r="L11" s="9" t="s">
        <v>131</v>
      </c>
    </row>
    <row r="12" customFormat="false" ht="26.85" hidden="false" customHeight="false" outlineLevel="0" collapsed="false">
      <c r="A12" s="2" t="s">
        <v>1292</v>
      </c>
      <c r="B12" s="5" t="s">
        <v>1293</v>
      </c>
      <c r="C12" s="5" t="s">
        <v>411</v>
      </c>
      <c r="D12" s="5" t="s">
        <v>412</v>
      </c>
      <c r="E12" s="5" t="s">
        <v>413</v>
      </c>
      <c r="F12" s="2" t="s">
        <v>414</v>
      </c>
      <c r="G12" s="5" t="s">
        <v>265</v>
      </c>
      <c r="H12" s="5" t="s">
        <v>265</v>
      </c>
      <c r="I12" s="5" t="s">
        <v>346</v>
      </c>
      <c r="J12" s="5"/>
      <c r="K12" s="5" t="s">
        <v>415</v>
      </c>
      <c r="L12" s="5" t="s">
        <v>176</v>
      </c>
    </row>
    <row r="13" customFormat="false" ht="26.85" hidden="false" customHeight="false" outlineLevel="0" collapsed="false">
      <c r="A13" s="8" t="s">
        <v>1294</v>
      </c>
      <c r="B13" s="9" t="s">
        <v>1295</v>
      </c>
      <c r="C13" s="9" t="s">
        <v>255</v>
      </c>
      <c r="D13" s="9" t="s">
        <v>628</v>
      </c>
      <c r="E13" s="9" t="s">
        <v>413</v>
      </c>
      <c r="F13" s="8" t="s">
        <v>629</v>
      </c>
      <c r="G13" s="9" t="s">
        <v>190</v>
      </c>
      <c r="H13" s="9" t="s">
        <v>190</v>
      </c>
      <c r="I13" s="9" t="s">
        <v>488</v>
      </c>
      <c r="J13" s="9"/>
      <c r="K13" s="9" t="s">
        <v>1296</v>
      </c>
      <c r="L13" s="9" t="s">
        <v>142</v>
      </c>
    </row>
    <row r="14" customFormat="false" ht="39.55" hidden="false" customHeight="false" outlineLevel="0" collapsed="false">
      <c r="A14" s="8" t="s">
        <v>1297</v>
      </c>
      <c r="B14" s="9" t="s">
        <v>1298</v>
      </c>
      <c r="C14" s="9" t="s">
        <v>177</v>
      </c>
      <c r="D14" s="9" t="s">
        <v>418</v>
      </c>
      <c r="E14" s="9" t="s">
        <v>1299</v>
      </c>
      <c r="F14" s="8" t="s">
        <v>420</v>
      </c>
      <c r="G14" s="9" t="s">
        <v>155</v>
      </c>
      <c r="H14" s="9" t="s">
        <v>190</v>
      </c>
      <c r="I14" s="9" t="s">
        <v>488</v>
      </c>
      <c r="J14" s="9"/>
      <c r="K14" s="9" t="s">
        <v>187</v>
      </c>
      <c r="L14" s="9" t="s">
        <v>142</v>
      </c>
    </row>
    <row r="15" customFormat="false" ht="26.85" hidden="false" customHeight="false" outlineLevel="0" collapsed="false">
      <c r="A15" s="2" t="s">
        <v>1300</v>
      </c>
      <c r="B15" s="5" t="s">
        <v>1301</v>
      </c>
      <c r="C15" s="5" t="s">
        <v>132</v>
      </c>
      <c r="D15" s="5" t="s">
        <v>424</v>
      </c>
      <c r="E15" s="5" t="s">
        <v>425</v>
      </c>
      <c r="F15" s="2" t="s">
        <v>426</v>
      </c>
      <c r="G15" s="5" t="s">
        <v>427</v>
      </c>
      <c r="H15" s="5" t="s">
        <v>428</v>
      </c>
      <c r="I15" s="5" t="s">
        <v>346</v>
      </c>
      <c r="J15" s="5"/>
      <c r="K15" s="5" t="s">
        <v>429</v>
      </c>
      <c r="L15" s="5" t="s">
        <v>142</v>
      </c>
    </row>
    <row r="16" customFormat="false" ht="26.85" hidden="false" customHeight="false" outlineLevel="0" collapsed="false">
      <c r="A16" s="2" t="s">
        <v>1302</v>
      </c>
      <c r="B16" s="5" t="s">
        <v>1303</v>
      </c>
      <c r="C16" s="5" t="s">
        <v>132</v>
      </c>
      <c r="D16" s="5" t="s">
        <v>424</v>
      </c>
      <c r="E16" s="5" t="s">
        <v>425</v>
      </c>
      <c r="F16" s="2" t="s">
        <v>426</v>
      </c>
      <c r="G16" s="5" t="s">
        <v>427</v>
      </c>
      <c r="H16" s="5" t="s">
        <v>428</v>
      </c>
      <c r="I16" s="5" t="s">
        <v>346</v>
      </c>
      <c r="J16" s="5"/>
      <c r="K16" s="5" t="s">
        <v>429</v>
      </c>
      <c r="L16" s="5" t="s">
        <v>142</v>
      </c>
    </row>
  </sheetData>
  <autoFilter ref="A1:L16"/>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1304</v>
      </c>
      <c r="B2" s="5" t="s">
        <v>1305</v>
      </c>
      <c r="C2" s="5" t="s">
        <v>119</v>
      </c>
      <c r="D2" s="5" t="s">
        <v>32</v>
      </c>
      <c r="E2" s="5" t="s">
        <v>123</v>
      </c>
      <c r="F2" s="2" t="s">
        <v>344</v>
      </c>
      <c r="G2" s="5" t="s">
        <v>436</v>
      </c>
      <c r="H2" s="5" t="s">
        <v>265</v>
      </c>
      <c r="I2" s="5" t="s">
        <v>346</v>
      </c>
      <c r="J2" s="5" t="s">
        <v>1306</v>
      </c>
      <c r="K2" s="5" t="s">
        <v>1307</v>
      </c>
      <c r="L2" s="5" t="s">
        <v>131</v>
      </c>
    </row>
    <row r="3" customFormat="false" ht="26.85" hidden="false" customHeight="false" outlineLevel="0" collapsed="false">
      <c r="A3" s="2" t="s">
        <v>1308</v>
      </c>
      <c r="B3" s="5" t="s">
        <v>1309</v>
      </c>
      <c r="C3" s="5" t="s">
        <v>119</v>
      </c>
      <c r="D3" s="5" t="s">
        <v>33</v>
      </c>
      <c r="E3" s="5" t="s">
        <v>123</v>
      </c>
      <c r="F3" s="2" t="s">
        <v>344</v>
      </c>
      <c r="G3" s="5" t="s">
        <v>345</v>
      </c>
      <c r="H3" s="5" t="s">
        <v>265</v>
      </c>
      <c r="I3" s="5" t="s">
        <v>346</v>
      </c>
      <c r="J3" s="5" t="s">
        <v>1310</v>
      </c>
      <c r="K3" s="5" t="s">
        <v>1311</v>
      </c>
      <c r="L3" s="5" t="s">
        <v>131</v>
      </c>
    </row>
    <row r="4" customFormat="false" ht="26.85" hidden="false" customHeight="false" outlineLevel="0" collapsed="false">
      <c r="A4" s="2" t="s">
        <v>1312</v>
      </c>
      <c r="B4" s="5" t="s">
        <v>1313</v>
      </c>
      <c r="C4" s="5" t="s">
        <v>119</v>
      </c>
      <c r="D4" s="5" t="s">
        <v>32</v>
      </c>
      <c r="E4" s="5" t="s">
        <v>123</v>
      </c>
      <c r="F4" s="2" t="s">
        <v>344</v>
      </c>
      <c r="G4" s="5" t="s">
        <v>345</v>
      </c>
      <c r="H4" s="5" t="s">
        <v>265</v>
      </c>
      <c r="I4" s="5" t="s">
        <v>346</v>
      </c>
      <c r="J4" s="5" t="s">
        <v>1314</v>
      </c>
      <c r="K4" s="5" t="s">
        <v>1315</v>
      </c>
      <c r="L4" s="5" t="s">
        <v>131</v>
      </c>
    </row>
    <row r="5" customFormat="false" ht="26.85" hidden="false" customHeight="false" outlineLevel="0" collapsed="false">
      <c r="A5" s="2" t="s">
        <v>1316</v>
      </c>
      <c r="B5" s="5" t="s">
        <v>1317</v>
      </c>
      <c r="C5" s="5" t="s">
        <v>119</v>
      </c>
      <c r="D5" s="5" t="s">
        <v>31</v>
      </c>
      <c r="E5" s="5" t="s">
        <v>123</v>
      </c>
      <c r="F5" s="2" t="s">
        <v>344</v>
      </c>
      <c r="G5" s="5" t="s">
        <v>345</v>
      </c>
      <c r="H5" s="5" t="s">
        <v>265</v>
      </c>
      <c r="I5" s="5" t="s">
        <v>346</v>
      </c>
      <c r="J5" s="5" t="s">
        <v>1318</v>
      </c>
      <c r="K5" s="5" t="s">
        <v>1319</v>
      </c>
      <c r="L5" s="5" t="s">
        <v>131</v>
      </c>
    </row>
    <row r="6" customFormat="false" ht="26.85" hidden="false" customHeight="false" outlineLevel="0" collapsed="false">
      <c r="A6" s="2" t="s">
        <v>1320</v>
      </c>
      <c r="B6" s="5" t="s">
        <v>1321</v>
      </c>
      <c r="C6" s="5" t="s">
        <v>119</v>
      </c>
      <c r="D6" s="5" t="s">
        <v>33</v>
      </c>
      <c r="E6" s="5" t="s">
        <v>123</v>
      </c>
      <c r="F6" s="2" t="s">
        <v>344</v>
      </c>
      <c r="G6" s="5" t="s">
        <v>760</v>
      </c>
      <c r="H6" s="5" t="s">
        <v>265</v>
      </c>
      <c r="I6" s="5" t="s">
        <v>368</v>
      </c>
      <c r="J6" s="5" t="s">
        <v>1322</v>
      </c>
      <c r="K6" s="5" t="s">
        <v>1323</v>
      </c>
      <c r="L6" s="5" t="s">
        <v>131</v>
      </c>
    </row>
    <row r="7" customFormat="false" ht="26.85" hidden="false" customHeight="false" outlineLevel="0" collapsed="false">
      <c r="A7" s="2" t="s">
        <v>1324</v>
      </c>
      <c r="B7" s="5" t="s">
        <v>1325</v>
      </c>
      <c r="C7" s="5" t="s">
        <v>119</v>
      </c>
      <c r="D7" s="5" t="s">
        <v>33</v>
      </c>
      <c r="E7" s="5" t="s">
        <v>123</v>
      </c>
      <c r="F7" s="2" t="s">
        <v>344</v>
      </c>
      <c r="G7" s="5" t="s">
        <v>345</v>
      </c>
      <c r="H7" s="5" t="s">
        <v>265</v>
      </c>
      <c r="I7" s="5" t="s">
        <v>368</v>
      </c>
      <c r="J7" s="5" t="s">
        <v>1326</v>
      </c>
      <c r="K7" s="5" t="s">
        <v>1327</v>
      </c>
      <c r="L7" s="5" t="s">
        <v>131</v>
      </c>
    </row>
    <row r="8" customFormat="false" ht="26.85" hidden="false" customHeight="false" outlineLevel="0" collapsed="false">
      <c r="A8" s="2" t="s">
        <v>1328</v>
      </c>
      <c r="B8" s="5" t="s">
        <v>1329</v>
      </c>
      <c r="C8" s="5" t="s">
        <v>119</v>
      </c>
      <c r="D8" s="5" t="s">
        <v>34</v>
      </c>
      <c r="E8" s="5" t="s">
        <v>123</v>
      </c>
      <c r="F8" s="2" t="s">
        <v>344</v>
      </c>
      <c r="G8" s="5" t="s">
        <v>345</v>
      </c>
      <c r="H8" s="5" t="s">
        <v>265</v>
      </c>
      <c r="I8" s="5" t="s">
        <v>346</v>
      </c>
      <c r="J8" s="5" t="s">
        <v>1330</v>
      </c>
      <c r="K8" s="5" t="s">
        <v>1331</v>
      </c>
      <c r="L8" s="5" t="s">
        <v>131</v>
      </c>
    </row>
    <row r="9" customFormat="false" ht="26.85" hidden="false" customHeight="false" outlineLevel="0" collapsed="false">
      <c r="A9" s="2" t="s">
        <v>1332</v>
      </c>
      <c r="B9" s="5" t="s">
        <v>1333</v>
      </c>
      <c r="C9" s="5" t="s">
        <v>119</v>
      </c>
      <c r="D9" s="5" t="s">
        <v>33</v>
      </c>
      <c r="E9" s="5" t="s">
        <v>123</v>
      </c>
      <c r="F9" s="2" t="s">
        <v>344</v>
      </c>
      <c r="G9" s="5" t="s">
        <v>345</v>
      </c>
      <c r="H9" s="5" t="s">
        <v>265</v>
      </c>
      <c r="I9" s="5" t="s">
        <v>346</v>
      </c>
      <c r="J9" s="5" t="s">
        <v>1334</v>
      </c>
      <c r="K9" s="5" t="s">
        <v>1335</v>
      </c>
      <c r="L9" s="5" t="s">
        <v>131</v>
      </c>
    </row>
    <row r="10" customFormat="false" ht="26.85" hidden="false" customHeight="false" outlineLevel="0" collapsed="false">
      <c r="A10" s="2" t="s">
        <v>1336</v>
      </c>
      <c r="B10" s="5" t="s">
        <v>1337</v>
      </c>
      <c r="C10" s="5" t="s">
        <v>119</v>
      </c>
      <c r="D10" s="5" t="s">
        <v>32</v>
      </c>
      <c r="E10" s="5" t="s">
        <v>123</v>
      </c>
      <c r="F10" s="2" t="s">
        <v>344</v>
      </c>
      <c r="G10" s="5" t="s">
        <v>345</v>
      </c>
      <c r="H10" s="5" t="s">
        <v>265</v>
      </c>
      <c r="I10" s="5" t="s">
        <v>346</v>
      </c>
      <c r="J10" s="5" t="s">
        <v>1338</v>
      </c>
      <c r="K10" s="5" t="s">
        <v>1339</v>
      </c>
      <c r="L10" s="5" t="s">
        <v>131</v>
      </c>
    </row>
    <row r="11" customFormat="false" ht="26.85" hidden="false" customHeight="false" outlineLevel="0" collapsed="false">
      <c r="A11" s="2" t="s">
        <v>1340</v>
      </c>
      <c r="B11" s="5" t="s">
        <v>1341</v>
      </c>
      <c r="C11" s="5" t="s">
        <v>119</v>
      </c>
      <c r="D11" s="5" t="s">
        <v>32</v>
      </c>
      <c r="E11" s="5" t="s">
        <v>123</v>
      </c>
      <c r="F11" s="2" t="s">
        <v>344</v>
      </c>
      <c r="G11" s="5" t="s">
        <v>450</v>
      </c>
      <c r="H11" s="5" t="s">
        <v>104</v>
      </c>
      <c r="I11" s="5" t="s">
        <v>346</v>
      </c>
      <c r="J11" s="5" t="s">
        <v>1342</v>
      </c>
      <c r="K11" s="5" t="s">
        <v>1343</v>
      </c>
      <c r="L11" s="5" t="s">
        <v>131</v>
      </c>
    </row>
    <row r="12" customFormat="false" ht="26.85" hidden="false" customHeight="false" outlineLevel="0" collapsed="false">
      <c r="A12" s="2" t="s">
        <v>1344</v>
      </c>
      <c r="B12" s="5" t="s">
        <v>1345</v>
      </c>
      <c r="C12" s="5" t="s">
        <v>119</v>
      </c>
      <c r="D12" s="5" t="s">
        <v>32</v>
      </c>
      <c r="E12" s="5" t="s">
        <v>123</v>
      </c>
      <c r="F12" s="2" t="s">
        <v>344</v>
      </c>
      <c r="G12" s="5" t="s">
        <v>459</v>
      </c>
      <c r="H12" s="5" t="s">
        <v>104</v>
      </c>
      <c r="I12" s="5" t="s">
        <v>346</v>
      </c>
      <c r="J12" s="5" t="s">
        <v>1346</v>
      </c>
      <c r="K12" s="5" t="s">
        <v>1347</v>
      </c>
      <c r="L12" s="5" t="s">
        <v>131</v>
      </c>
    </row>
    <row r="13" customFormat="false" ht="26.85" hidden="false" customHeight="false" outlineLevel="0" collapsed="false">
      <c r="A13" s="8" t="s">
        <v>1348</v>
      </c>
      <c r="B13" s="9" t="s">
        <v>1349</v>
      </c>
      <c r="C13" s="9" t="s">
        <v>119</v>
      </c>
      <c r="D13" s="9" t="s">
        <v>33</v>
      </c>
      <c r="E13" s="9" t="s">
        <v>123</v>
      </c>
      <c r="F13" s="8" t="s">
        <v>344</v>
      </c>
      <c r="G13" s="9" t="s">
        <v>1350</v>
      </c>
      <c r="H13" s="9" t="s">
        <v>190</v>
      </c>
      <c r="I13" s="9" t="s">
        <v>488</v>
      </c>
      <c r="J13" s="9" t="s">
        <v>1351</v>
      </c>
      <c r="K13" s="9" t="s">
        <v>1352</v>
      </c>
      <c r="L13" s="9" t="s">
        <v>131</v>
      </c>
    </row>
    <row r="14" customFormat="false" ht="39.55" hidden="false" customHeight="false" outlineLevel="0" collapsed="false">
      <c r="A14" s="2" t="s">
        <v>1353</v>
      </c>
      <c r="B14" s="5" t="s">
        <v>1354</v>
      </c>
      <c r="C14" s="5" t="s">
        <v>716</v>
      </c>
      <c r="D14" s="5" t="s">
        <v>717</v>
      </c>
      <c r="E14" s="5" t="s">
        <v>718</v>
      </c>
      <c r="F14" s="2" t="s">
        <v>719</v>
      </c>
      <c r="G14" s="5" t="s">
        <v>720</v>
      </c>
      <c r="H14" s="5" t="s">
        <v>428</v>
      </c>
      <c r="I14" s="5" t="s">
        <v>488</v>
      </c>
      <c r="J14" s="5"/>
      <c r="K14" s="5" t="s">
        <v>197</v>
      </c>
      <c r="L14" s="5" t="s">
        <v>142</v>
      </c>
    </row>
    <row r="15" customFormat="false" ht="26.85" hidden="false" customHeight="false" outlineLevel="0" collapsed="false">
      <c r="A15" s="8" t="s">
        <v>1355</v>
      </c>
      <c r="B15" s="9" t="s">
        <v>1356</v>
      </c>
      <c r="C15" s="9" t="s">
        <v>153</v>
      </c>
      <c r="D15" s="9" t="s">
        <v>485</v>
      </c>
      <c r="E15" s="9" t="s">
        <v>486</v>
      </c>
      <c r="F15" s="8" t="s">
        <v>487</v>
      </c>
      <c r="G15" s="9" t="s">
        <v>190</v>
      </c>
      <c r="H15" s="9" t="s">
        <v>190</v>
      </c>
      <c r="I15" s="9" t="s">
        <v>488</v>
      </c>
      <c r="J15" s="9"/>
      <c r="K15" s="9" t="s">
        <v>164</v>
      </c>
      <c r="L15" s="9" t="s">
        <v>131</v>
      </c>
    </row>
    <row r="16" customFormat="false" ht="26.85" hidden="false" customHeight="false" outlineLevel="0" collapsed="false">
      <c r="A16" s="2" t="s">
        <v>1357</v>
      </c>
      <c r="B16" s="5" t="s">
        <v>1358</v>
      </c>
      <c r="C16" s="5" t="s">
        <v>411</v>
      </c>
      <c r="D16" s="5" t="s">
        <v>412</v>
      </c>
      <c r="E16" s="5" t="s">
        <v>413</v>
      </c>
      <c r="F16" s="2" t="s">
        <v>414</v>
      </c>
      <c r="G16" s="5" t="s">
        <v>265</v>
      </c>
      <c r="H16" s="5" t="s">
        <v>265</v>
      </c>
      <c r="I16" s="5" t="s">
        <v>346</v>
      </c>
      <c r="J16" s="5"/>
      <c r="K16" s="5" t="s">
        <v>415</v>
      </c>
      <c r="L16" s="5" t="s">
        <v>176</v>
      </c>
    </row>
    <row r="17" customFormat="false" ht="26.85" hidden="false" customHeight="false" outlineLevel="0" collapsed="false">
      <c r="A17" s="2" t="s">
        <v>1359</v>
      </c>
      <c r="B17" s="5" t="s">
        <v>1360</v>
      </c>
      <c r="C17" s="5" t="s">
        <v>411</v>
      </c>
      <c r="D17" s="5" t="s">
        <v>412</v>
      </c>
      <c r="E17" s="5" t="s">
        <v>413</v>
      </c>
      <c r="F17" s="2" t="s">
        <v>414</v>
      </c>
      <c r="G17" s="5" t="s">
        <v>265</v>
      </c>
      <c r="H17" s="5" t="s">
        <v>265</v>
      </c>
      <c r="I17" s="5" t="s">
        <v>346</v>
      </c>
      <c r="J17" s="5"/>
      <c r="K17" s="5" t="s">
        <v>415</v>
      </c>
      <c r="L17" s="5" t="s">
        <v>176</v>
      </c>
    </row>
    <row r="18" customFormat="false" ht="26.85" hidden="false" customHeight="false" outlineLevel="0" collapsed="false">
      <c r="A18" s="2" t="s">
        <v>1361</v>
      </c>
      <c r="B18" s="5" t="s">
        <v>1362</v>
      </c>
      <c r="C18" s="5" t="s">
        <v>411</v>
      </c>
      <c r="D18" s="5" t="s">
        <v>412</v>
      </c>
      <c r="E18" s="5" t="s">
        <v>413</v>
      </c>
      <c r="F18" s="2" t="s">
        <v>414</v>
      </c>
      <c r="G18" s="5" t="s">
        <v>265</v>
      </c>
      <c r="H18" s="5" t="s">
        <v>265</v>
      </c>
      <c r="I18" s="5" t="s">
        <v>346</v>
      </c>
      <c r="J18" s="5"/>
      <c r="K18" s="5" t="s">
        <v>415</v>
      </c>
      <c r="L18" s="5" t="s">
        <v>176</v>
      </c>
    </row>
    <row r="19" customFormat="false" ht="39.55" hidden="false" customHeight="false" outlineLevel="0" collapsed="false">
      <c r="A19" s="8" t="s">
        <v>1363</v>
      </c>
      <c r="B19" s="9" t="s">
        <v>1364</v>
      </c>
      <c r="C19" s="9" t="s">
        <v>317</v>
      </c>
      <c r="D19" s="9" t="s">
        <v>557</v>
      </c>
      <c r="E19" s="9" t="s">
        <v>558</v>
      </c>
      <c r="F19" s="8" t="s">
        <v>559</v>
      </c>
      <c r="G19" s="9" t="s">
        <v>1365</v>
      </c>
      <c r="H19" s="9" t="s">
        <v>190</v>
      </c>
      <c r="I19" s="9" t="s">
        <v>488</v>
      </c>
      <c r="J19" s="9"/>
      <c r="K19" s="9" t="s">
        <v>325</v>
      </c>
      <c r="L19" s="9" t="s">
        <v>142</v>
      </c>
    </row>
    <row r="20" customFormat="false" ht="39.55" hidden="false" customHeight="false" outlineLevel="0" collapsed="false">
      <c r="A20" s="8" t="s">
        <v>1366</v>
      </c>
      <c r="B20" s="9" t="s">
        <v>1367</v>
      </c>
      <c r="C20" s="9" t="s">
        <v>317</v>
      </c>
      <c r="D20" s="9" t="s">
        <v>557</v>
      </c>
      <c r="E20" s="9" t="s">
        <v>558</v>
      </c>
      <c r="F20" s="8" t="s">
        <v>559</v>
      </c>
      <c r="G20" s="9" t="s">
        <v>564</v>
      </c>
      <c r="H20" s="9" t="s">
        <v>190</v>
      </c>
      <c r="I20" s="9" t="s">
        <v>488</v>
      </c>
      <c r="J20" s="9"/>
      <c r="K20" s="9" t="s">
        <v>325</v>
      </c>
      <c r="L20" s="9" t="s">
        <v>142</v>
      </c>
    </row>
    <row r="21" customFormat="false" ht="39.55" hidden="false" customHeight="false" outlineLevel="0" collapsed="false">
      <c r="A21" s="8" t="s">
        <v>1368</v>
      </c>
      <c r="B21" s="9" t="s">
        <v>1369</v>
      </c>
      <c r="C21" s="9" t="s">
        <v>317</v>
      </c>
      <c r="D21" s="9" t="s">
        <v>557</v>
      </c>
      <c r="E21" s="9" t="s">
        <v>558</v>
      </c>
      <c r="F21" s="8" t="s">
        <v>559</v>
      </c>
      <c r="G21" s="9" t="s">
        <v>1370</v>
      </c>
      <c r="H21" s="9" t="s">
        <v>190</v>
      </c>
      <c r="I21" s="9" t="s">
        <v>488</v>
      </c>
      <c r="J21" s="9"/>
      <c r="K21" s="9" t="s">
        <v>325</v>
      </c>
      <c r="L21" s="9" t="s">
        <v>142</v>
      </c>
    </row>
    <row r="22" customFormat="false" ht="39.55" hidden="false" customHeight="false" outlineLevel="0" collapsed="false">
      <c r="A22" s="8" t="s">
        <v>1371</v>
      </c>
      <c r="B22" s="9" t="s">
        <v>1372</v>
      </c>
      <c r="C22" s="9" t="s">
        <v>317</v>
      </c>
      <c r="D22" s="9" t="s">
        <v>557</v>
      </c>
      <c r="E22" s="9" t="s">
        <v>558</v>
      </c>
      <c r="F22" s="8" t="s">
        <v>559</v>
      </c>
      <c r="G22" s="9" t="s">
        <v>564</v>
      </c>
      <c r="H22" s="9" t="s">
        <v>190</v>
      </c>
      <c r="I22" s="9" t="s">
        <v>488</v>
      </c>
      <c r="J22" s="9"/>
      <c r="K22" s="9" t="s">
        <v>325</v>
      </c>
      <c r="L22" s="9" t="s">
        <v>142</v>
      </c>
    </row>
    <row r="23" customFormat="false" ht="26.85" hidden="false" customHeight="false" outlineLevel="0" collapsed="false">
      <c r="A23" s="8" t="s">
        <v>1373</v>
      </c>
      <c r="B23" s="9" t="s">
        <v>1374</v>
      </c>
      <c r="C23" s="9" t="s">
        <v>246</v>
      </c>
      <c r="D23" s="9" t="s">
        <v>646</v>
      </c>
      <c r="E23" s="9" t="s">
        <v>248</v>
      </c>
      <c r="F23" s="8" t="s">
        <v>647</v>
      </c>
      <c r="G23" s="9" t="s">
        <v>648</v>
      </c>
      <c r="H23" s="9" t="s">
        <v>190</v>
      </c>
      <c r="I23" s="9" t="s">
        <v>488</v>
      </c>
      <c r="J23" s="9"/>
      <c r="K23" s="9" t="s">
        <v>254</v>
      </c>
      <c r="L23" s="9" t="s">
        <v>142</v>
      </c>
    </row>
    <row r="24" customFormat="false" ht="26.85" hidden="false" customHeight="false" outlineLevel="0" collapsed="false">
      <c r="A24" s="2" t="s">
        <v>1375</v>
      </c>
      <c r="B24" s="5" t="s">
        <v>1376</v>
      </c>
      <c r="C24" s="5" t="s">
        <v>132</v>
      </c>
      <c r="D24" s="5" t="s">
        <v>424</v>
      </c>
      <c r="E24" s="5" t="s">
        <v>425</v>
      </c>
      <c r="F24" s="2" t="s">
        <v>426</v>
      </c>
      <c r="G24" s="5" t="s">
        <v>427</v>
      </c>
      <c r="H24" s="5" t="s">
        <v>428</v>
      </c>
      <c r="I24" s="5" t="s">
        <v>346</v>
      </c>
      <c r="J24" s="5"/>
      <c r="K24" s="5" t="s">
        <v>429</v>
      </c>
      <c r="L24" s="5" t="s">
        <v>142</v>
      </c>
    </row>
    <row r="25" customFormat="false" ht="26.85" hidden="false" customHeight="false" outlineLevel="0" collapsed="false">
      <c r="A25" s="2" t="s">
        <v>1377</v>
      </c>
      <c r="B25" s="5" t="s">
        <v>1378</v>
      </c>
      <c r="C25" s="5" t="s">
        <v>132</v>
      </c>
      <c r="D25" s="5" t="s">
        <v>424</v>
      </c>
      <c r="E25" s="5" t="s">
        <v>425</v>
      </c>
      <c r="F25" s="2" t="s">
        <v>426</v>
      </c>
      <c r="G25" s="5" t="s">
        <v>427</v>
      </c>
      <c r="H25" s="5" t="s">
        <v>428</v>
      </c>
      <c r="I25" s="5" t="s">
        <v>346</v>
      </c>
      <c r="J25" s="5"/>
      <c r="K25" s="5" t="s">
        <v>429</v>
      </c>
      <c r="L25" s="5" t="s">
        <v>142</v>
      </c>
    </row>
    <row r="26" customFormat="false" ht="26.85" hidden="false" customHeight="false" outlineLevel="0" collapsed="false">
      <c r="A26" s="2" t="s">
        <v>1379</v>
      </c>
      <c r="B26" s="5" t="s">
        <v>1380</v>
      </c>
      <c r="C26" s="5" t="s">
        <v>132</v>
      </c>
      <c r="D26" s="5" t="s">
        <v>424</v>
      </c>
      <c r="E26" s="5" t="s">
        <v>425</v>
      </c>
      <c r="F26" s="2" t="s">
        <v>426</v>
      </c>
      <c r="G26" s="5" t="s">
        <v>427</v>
      </c>
      <c r="H26" s="5" t="s">
        <v>428</v>
      </c>
      <c r="I26" s="5" t="s">
        <v>346</v>
      </c>
      <c r="J26" s="5"/>
      <c r="K26" s="5" t="s">
        <v>429</v>
      </c>
      <c r="L26" s="5" t="s">
        <v>142</v>
      </c>
    </row>
    <row r="27" customFormat="false" ht="26.85" hidden="false" customHeight="false" outlineLevel="0" collapsed="false">
      <c r="A27" s="2" t="s">
        <v>1381</v>
      </c>
      <c r="B27" s="5" t="s">
        <v>1382</v>
      </c>
      <c r="C27" s="5" t="s">
        <v>132</v>
      </c>
      <c r="D27" s="5" t="s">
        <v>424</v>
      </c>
      <c r="E27" s="5" t="s">
        <v>425</v>
      </c>
      <c r="F27" s="2" t="s">
        <v>426</v>
      </c>
      <c r="G27" s="5" t="s">
        <v>427</v>
      </c>
      <c r="H27" s="5" t="s">
        <v>428</v>
      </c>
      <c r="I27" s="5" t="s">
        <v>346</v>
      </c>
      <c r="J27" s="5"/>
      <c r="K27" s="5" t="s">
        <v>429</v>
      </c>
      <c r="L27" s="5" t="s">
        <v>142</v>
      </c>
    </row>
    <row r="28" customFormat="false" ht="26.85" hidden="false" customHeight="false" outlineLevel="0" collapsed="false">
      <c r="A28" s="2" t="s">
        <v>1383</v>
      </c>
      <c r="B28" s="5" t="s">
        <v>1384</v>
      </c>
      <c r="C28" s="5" t="s">
        <v>132</v>
      </c>
      <c r="D28" s="5" t="s">
        <v>424</v>
      </c>
      <c r="E28" s="5" t="s">
        <v>425</v>
      </c>
      <c r="F28" s="2" t="s">
        <v>426</v>
      </c>
      <c r="G28" s="5" t="s">
        <v>427</v>
      </c>
      <c r="H28" s="5" t="s">
        <v>428</v>
      </c>
      <c r="I28" s="5" t="s">
        <v>346</v>
      </c>
      <c r="J28" s="5"/>
      <c r="K28" s="5" t="s">
        <v>429</v>
      </c>
      <c r="L28" s="5" t="s">
        <v>142</v>
      </c>
    </row>
    <row r="29" customFormat="false" ht="26.85" hidden="false" customHeight="false" outlineLevel="0" collapsed="false">
      <c r="A29" s="2" t="s">
        <v>1385</v>
      </c>
      <c r="B29" s="5" t="s">
        <v>1386</v>
      </c>
      <c r="C29" s="5" t="s">
        <v>132</v>
      </c>
      <c r="D29" s="5" t="s">
        <v>424</v>
      </c>
      <c r="E29" s="5" t="s">
        <v>425</v>
      </c>
      <c r="F29" s="2" t="s">
        <v>426</v>
      </c>
      <c r="G29" s="5" t="s">
        <v>427</v>
      </c>
      <c r="H29" s="5" t="s">
        <v>428</v>
      </c>
      <c r="I29" s="5" t="s">
        <v>346</v>
      </c>
      <c r="J29" s="5"/>
      <c r="K29" s="5" t="s">
        <v>429</v>
      </c>
      <c r="L29" s="5" t="s">
        <v>142</v>
      </c>
    </row>
  </sheetData>
  <autoFilter ref="A1:L2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1387</v>
      </c>
      <c r="B2" s="5" t="s">
        <v>1388</v>
      </c>
      <c r="C2" s="5" t="s">
        <v>119</v>
      </c>
      <c r="D2" s="5" t="s">
        <v>33</v>
      </c>
      <c r="E2" s="5" t="s">
        <v>123</v>
      </c>
      <c r="F2" s="2" t="s">
        <v>344</v>
      </c>
      <c r="G2" s="5" t="s">
        <v>436</v>
      </c>
      <c r="H2" s="5" t="s">
        <v>265</v>
      </c>
      <c r="I2" s="5" t="s">
        <v>346</v>
      </c>
      <c r="J2" s="5" t="s">
        <v>1389</v>
      </c>
      <c r="K2" s="5" t="s">
        <v>1390</v>
      </c>
      <c r="L2" s="5" t="s">
        <v>131</v>
      </c>
    </row>
    <row r="3" customFormat="false" ht="26.85" hidden="false" customHeight="false" outlineLevel="0" collapsed="false">
      <c r="A3" s="2" t="s">
        <v>1391</v>
      </c>
      <c r="B3" s="5" t="s">
        <v>1392</v>
      </c>
      <c r="C3" s="5" t="s">
        <v>119</v>
      </c>
      <c r="D3" s="5" t="s">
        <v>30</v>
      </c>
      <c r="E3" s="5" t="s">
        <v>123</v>
      </c>
      <c r="F3" s="2" t="s">
        <v>344</v>
      </c>
      <c r="G3" s="5" t="s">
        <v>373</v>
      </c>
      <c r="H3" s="5" t="s">
        <v>104</v>
      </c>
      <c r="I3" s="5" t="s">
        <v>346</v>
      </c>
      <c r="J3" s="5" t="s">
        <v>1393</v>
      </c>
      <c r="K3" s="5" t="s">
        <v>1394</v>
      </c>
      <c r="L3" s="5" t="s">
        <v>131</v>
      </c>
    </row>
    <row r="4" customFormat="false" ht="26.85" hidden="false" customHeight="false" outlineLevel="0" collapsed="false">
      <c r="A4" s="2" t="s">
        <v>1395</v>
      </c>
      <c r="B4" s="5" t="s">
        <v>1396</v>
      </c>
      <c r="C4" s="5" t="s">
        <v>119</v>
      </c>
      <c r="D4" s="5" t="s">
        <v>33</v>
      </c>
      <c r="E4" s="5" t="s">
        <v>123</v>
      </c>
      <c r="F4" s="2" t="s">
        <v>344</v>
      </c>
      <c r="G4" s="5" t="s">
        <v>760</v>
      </c>
      <c r="H4" s="5" t="s">
        <v>265</v>
      </c>
      <c r="I4" s="5" t="s">
        <v>368</v>
      </c>
      <c r="J4" s="5" t="s">
        <v>1397</v>
      </c>
      <c r="K4" s="5" t="s">
        <v>1398</v>
      </c>
      <c r="L4" s="5" t="s">
        <v>131</v>
      </c>
    </row>
    <row r="5" customFormat="false" ht="26.85" hidden="false" customHeight="false" outlineLevel="0" collapsed="false">
      <c r="A5" s="2" t="s">
        <v>1399</v>
      </c>
      <c r="B5" s="5" t="s">
        <v>1400</v>
      </c>
      <c r="C5" s="5" t="s">
        <v>119</v>
      </c>
      <c r="D5" s="5" t="s">
        <v>32</v>
      </c>
      <c r="E5" s="5" t="s">
        <v>123</v>
      </c>
      <c r="F5" s="2" t="s">
        <v>344</v>
      </c>
      <c r="G5" s="5" t="s">
        <v>345</v>
      </c>
      <c r="H5" s="5" t="s">
        <v>265</v>
      </c>
      <c r="I5" s="5" t="s">
        <v>346</v>
      </c>
      <c r="J5" s="5" t="s">
        <v>1401</v>
      </c>
      <c r="K5" s="5" t="s">
        <v>1402</v>
      </c>
      <c r="L5" s="5" t="s">
        <v>131</v>
      </c>
    </row>
    <row r="6" customFormat="false" ht="26.85" hidden="false" customHeight="false" outlineLevel="0" collapsed="false">
      <c r="A6" s="2" t="s">
        <v>1403</v>
      </c>
      <c r="B6" s="5" t="s">
        <v>1404</v>
      </c>
      <c r="C6" s="5" t="s">
        <v>119</v>
      </c>
      <c r="D6" s="5" t="s">
        <v>32</v>
      </c>
      <c r="E6" s="5" t="s">
        <v>123</v>
      </c>
      <c r="F6" s="2" t="s">
        <v>344</v>
      </c>
      <c r="G6" s="5" t="s">
        <v>345</v>
      </c>
      <c r="H6" s="5" t="s">
        <v>265</v>
      </c>
      <c r="I6" s="5" t="s">
        <v>346</v>
      </c>
      <c r="J6" s="5" t="s">
        <v>1405</v>
      </c>
      <c r="K6" s="5" t="s">
        <v>1406</v>
      </c>
      <c r="L6" s="5" t="s">
        <v>131</v>
      </c>
    </row>
    <row r="7" customFormat="false" ht="26.85" hidden="false" customHeight="false" outlineLevel="0" collapsed="false">
      <c r="A7" s="2" t="s">
        <v>1407</v>
      </c>
      <c r="B7" s="5" t="s">
        <v>1408</v>
      </c>
      <c r="C7" s="5" t="s">
        <v>119</v>
      </c>
      <c r="D7" s="5" t="s">
        <v>32</v>
      </c>
      <c r="E7" s="5" t="s">
        <v>123</v>
      </c>
      <c r="F7" s="2" t="s">
        <v>344</v>
      </c>
      <c r="G7" s="5" t="s">
        <v>436</v>
      </c>
      <c r="H7" s="5" t="s">
        <v>265</v>
      </c>
      <c r="I7" s="5" t="s">
        <v>346</v>
      </c>
      <c r="J7" s="5" t="s">
        <v>1409</v>
      </c>
      <c r="K7" s="5" t="s">
        <v>1410</v>
      </c>
      <c r="L7" s="5" t="s">
        <v>131</v>
      </c>
    </row>
    <row r="8" customFormat="false" ht="26.85" hidden="false" customHeight="false" outlineLevel="0" collapsed="false">
      <c r="A8" s="2" t="s">
        <v>1411</v>
      </c>
      <c r="B8" s="5" t="s">
        <v>1412</v>
      </c>
      <c r="C8" s="5" t="s">
        <v>119</v>
      </c>
      <c r="D8" s="5" t="s">
        <v>31</v>
      </c>
      <c r="E8" s="5" t="s">
        <v>123</v>
      </c>
      <c r="F8" s="2" t="s">
        <v>344</v>
      </c>
      <c r="G8" s="5" t="s">
        <v>345</v>
      </c>
      <c r="H8" s="5" t="s">
        <v>265</v>
      </c>
      <c r="I8" s="5" t="s">
        <v>346</v>
      </c>
      <c r="J8" s="5" t="s">
        <v>1413</v>
      </c>
      <c r="K8" s="5" t="s">
        <v>1414</v>
      </c>
      <c r="L8" s="5" t="s">
        <v>131</v>
      </c>
    </row>
    <row r="9" customFormat="false" ht="26.85" hidden="false" customHeight="false" outlineLevel="0" collapsed="false">
      <c r="A9" s="2" t="s">
        <v>1415</v>
      </c>
      <c r="B9" s="5" t="s">
        <v>1416</v>
      </c>
      <c r="C9" s="5" t="s">
        <v>119</v>
      </c>
      <c r="D9" s="5" t="s">
        <v>32</v>
      </c>
      <c r="E9" s="5" t="s">
        <v>123</v>
      </c>
      <c r="F9" s="2" t="s">
        <v>344</v>
      </c>
      <c r="G9" s="5" t="s">
        <v>436</v>
      </c>
      <c r="H9" s="5" t="s">
        <v>265</v>
      </c>
      <c r="I9" s="5" t="s">
        <v>346</v>
      </c>
      <c r="J9" s="5" t="s">
        <v>1417</v>
      </c>
      <c r="K9" s="5" t="s">
        <v>1418</v>
      </c>
      <c r="L9" s="5" t="s">
        <v>131</v>
      </c>
    </row>
    <row r="10" customFormat="false" ht="26.85" hidden="false" customHeight="false" outlineLevel="0" collapsed="false">
      <c r="A10" s="2" t="s">
        <v>1419</v>
      </c>
      <c r="B10" s="5" t="s">
        <v>1420</v>
      </c>
      <c r="C10" s="5" t="s">
        <v>119</v>
      </c>
      <c r="D10" s="5" t="s">
        <v>33</v>
      </c>
      <c r="E10" s="5" t="s">
        <v>123</v>
      </c>
      <c r="F10" s="2" t="s">
        <v>344</v>
      </c>
      <c r="G10" s="5" t="s">
        <v>345</v>
      </c>
      <c r="H10" s="5" t="s">
        <v>265</v>
      </c>
      <c r="I10" s="5" t="s">
        <v>346</v>
      </c>
      <c r="J10" s="5" t="s">
        <v>1421</v>
      </c>
      <c r="K10" s="5" t="s">
        <v>1422</v>
      </c>
      <c r="L10" s="5" t="s">
        <v>131</v>
      </c>
    </row>
    <row r="11" customFormat="false" ht="26.85" hidden="false" customHeight="false" outlineLevel="0" collapsed="false">
      <c r="A11" s="8" t="s">
        <v>1423</v>
      </c>
      <c r="B11" s="9" t="s">
        <v>1424</v>
      </c>
      <c r="C11" s="9" t="s">
        <v>153</v>
      </c>
      <c r="D11" s="9" t="s">
        <v>485</v>
      </c>
      <c r="E11" s="9" t="s">
        <v>486</v>
      </c>
      <c r="F11" s="8" t="s">
        <v>487</v>
      </c>
      <c r="G11" s="9" t="s">
        <v>190</v>
      </c>
      <c r="H11" s="9" t="s">
        <v>190</v>
      </c>
      <c r="I11" s="9" t="s">
        <v>488</v>
      </c>
      <c r="J11" s="9"/>
      <c r="K11" s="9" t="s">
        <v>164</v>
      </c>
      <c r="L11" s="9" t="s">
        <v>131</v>
      </c>
    </row>
    <row r="12" customFormat="false" ht="39.55" hidden="false" customHeight="false" outlineLevel="0" collapsed="false">
      <c r="A12" s="2" t="s">
        <v>1425</v>
      </c>
      <c r="B12" s="5" t="s">
        <v>1426</v>
      </c>
      <c r="C12" s="5" t="s">
        <v>177</v>
      </c>
      <c r="D12" s="5" t="s">
        <v>418</v>
      </c>
      <c r="E12" s="5" t="s">
        <v>1427</v>
      </c>
      <c r="F12" s="2" t="s">
        <v>420</v>
      </c>
      <c r="G12" s="5" t="s">
        <v>1428</v>
      </c>
      <c r="H12" s="5" t="s">
        <v>265</v>
      </c>
      <c r="I12" s="5" t="s">
        <v>346</v>
      </c>
      <c r="J12" s="5"/>
      <c r="K12" s="5" t="s">
        <v>187</v>
      </c>
      <c r="L12" s="5" t="s">
        <v>142</v>
      </c>
    </row>
    <row r="13" customFormat="false" ht="39.55" hidden="false" customHeight="false" outlineLevel="0" collapsed="false">
      <c r="A13" s="8" t="s">
        <v>1429</v>
      </c>
      <c r="B13" s="9" t="s">
        <v>1430</v>
      </c>
      <c r="C13" s="9" t="s">
        <v>177</v>
      </c>
      <c r="D13" s="9" t="s">
        <v>418</v>
      </c>
      <c r="E13" s="9" t="s">
        <v>1010</v>
      </c>
      <c r="F13" s="8" t="s">
        <v>420</v>
      </c>
      <c r="G13" s="9" t="s">
        <v>564</v>
      </c>
      <c r="H13" s="9" t="s">
        <v>190</v>
      </c>
      <c r="I13" s="9" t="s">
        <v>488</v>
      </c>
      <c r="J13" s="9"/>
      <c r="K13" s="9" t="s">
        <v>187</v>
      </c>
      <c r="L13" s="9" t="s">
        <v>142</v>
      </c>
    </row>
    <row r="14" customFormat="false" ht="15" hidden="false" customHeight="false" outlineLevel="0" collapsed="false">
      <c r="A14" s="2" t="s">
        <v>1431</v>
      </c>
      <c r="B14" s="5" t="s">
        <v>1432</v>
      </c>
      <c r="C14" s="5" t="s">
        <v>264</v>
      </c>
      <c r="D14" s="5" t="s">
        <v>828</v>
      </c>
      <c r="E14" s="5" t="s">
        <v>302</v>
      </c>
      <c r="F14" s="2" t="s">
        <v>829</v>
      </c>
      <c r="G14" s="5" t="s">
        <v>1433</v>
      </c>
      <c r="H14" s="5" t="s">
        <v>104</v>
      </c>
      <c r="I14" s="5" t="s">
        <v>1248</v>
      </c>
      <c r="J14" s="5"/>
      <c r="K14" s="5" t="s">
        <v>273</v>
      </c>
      <c r="L14" s="5" t="s">
        <v>142</v>
      </c>
    </row>
    <row r="15" customFormat="false" ht="15" hidden="false" customHeight="false" outlineLevel="0" collapsed="false">
      <c r="A15" s="2" t="s">
        <v>1434</v>
      </c>
      <c r="B15" s="5" t="s">
        <v>1435</v>
      </c>
      <c r="C15" s="5" t="s">
        <v>264</v>
      </c>
      <c r="D15" s="5" t="s">
        <v>828</v>
      </c>
      <c r="E15" s="5" t="s">
        <v>302</v>
      </c>
      <c r="F15" s="2" t="s">
        <v>829</v>
      </c>
      <c r="G15" s="5" t="s">
        <v>1436</v>
      </c>
      <c r="H15" s="5" t="s">
        <v>265</v>
      </c>
      <c r="I15" s="5" t="s">
        <v>346</v>
      </c>
      <c r="J15" s="5"/>
      <c r="K15" s="5" t="s">
        <v>273</v>
      </c>
      <c r="L15" s="5" t="s">
        <v>142</v>
      </c>
    </row>
    <row r="16" customFormat="false" ht="26.85" hidden="false" customHeight="false" outlineLevel="0" collapsed="false">
      <c r="A16" s="2" t="s">
        <v>1437</v>
      </c>
      <c r="B16" s="5" t="s">
        <v>1438</v>
      </c>
      <c r="C16" s="5" t="s">
        <v>264</v>
      </c>
      <c r="D16" s="5" t="s">
        <v>828</v>
      </c>
      <c r="E16" s="5" t="s">
        <v>302</v>
      </c>
      <c r="F16" s="2" t="s">
        <v>829</v>
      </c>
      <c r="G16" s="5" t="s">
        <v>1439</v>
      </c>
      <c r="H16" s="5" t="s">
        <v>104</v>
      </c>
      <c r="I16" s="5" t="s">
        <v>1248</v>
      </c>
      <c r="J16" s="5"/>
      <c r="K16" s="5" t="s">
        <v>273</v>
      </c>
      <c r="L16" s="5" t="s">
        <v>142</v>
      </c>
    </row>
    <row r="17" customFormat="false" ht="26.85" hidden="false" customHeight="false" outlineLevel="0" collapsed="false">
      <c r="A17" s="2" t="s">
        <v>1440</v>
      </c>
      <c r="B17" s="5" t="s">
        <v>1441</v>
      </c>
      <c r="C17" s="5" t="s">
        <v>132</v>
      </c>
      <c r="D17" s="5" t="s">
        <v>424</v>
      </c>
      <c r="E17" s="5" t="s">
        <v>425</v>
      </c>
      <c r="F17" s="2" t="s">
        <v>426</v>
      </c>
      <c r="G17" s="5" t="s">
        <v>427</v>
      </c>
      <c r="H17" s="5" t="s">
        <v>428</v>
      </c>
      <c r="I17" s="5" t="s">
        <v>346</v>
      </c>
      <c r="J17" s="5"/>
      <c r="K17" s="5" t="s">
        <v>429</v>
      </c>
      <c r="L17" s="5" t="s">
        <v>142</v>
      </c>
    </row>
    <row r="18" customFormat="false" ht="26.85" hidden="false" customHeight="false" outlineLevel="0" collapsed="false">
      <c r="A18" s="2" t="s">
        <v>1442</v>
      </c>
      <c r="B18" s="5" t="s">
        <v>1443</v>
      </c>
      <c r="C18" s="5" t="s">
        <v>132</v>
      </c>
      <c r="D18" s="5" t="s">
        <v>424</v>
      </c>
      <c r="E18" s="5" t="s">
        <v>425</v>
      </c>
      <c r="F18" s="2" t="s">
        <v>426</v>
      </c>
      <c r="G18" s="5" t="s">
        <v>427</v>
      </c>
      <c r="H18" s="5" t="s">
        <v>428</v>
      </c>
      <c r="I18" s="5" t="s">
        <v>346</v>
      </c>
      <c r="J18" s="5"/>
      <c r="K18" s="5" t="s">
        <v>429</v>
      </c>
      <c r="L18" s="5" t="s">
        <v>142</v>
      </c>
    </row>
    <row r="19" customFormat="false" ht="26.85" hidden="false" customHeight="false" outlineLevel="0" collapsed="false">
      <c r="A19" s="2" t="s">
        <v>1444</v>
      </c>
      <c r="B19" s="5" t="s">
        <v>1445</v>
      </c>
      <c r="C19" s="5" t="s">
        <v>132</v>
      </c>
      <c r="D19" s="5" t="s">
        <v>424</v>
      </c>
      <c r="E19" s="5" t="s">
        <v>425</v>
      </c>
      <c r="F19" s="2" t="s">
        <v>426</v>
      </c>
      <c r="G19" s="5" t="s">
        <v>427</v>
      </c>
      <c r="H19" s="5" t="s">
        <v>428</v>
      </c>
      <c r="I19" s="5" t="s">
        <v>346</v>
      </c>
      <c r="J19" s="5"/>
      <c r="K19" s="5" t="s">
        <v>429</v>
      </c>
      <c r="L19" s="5" t="s">
        <v>142</v>
      </c>
    </row>
    <row r="20" customFormat="false" ht="26.85" hidden="false" customHeight="false" outlineLevel="0" collapsed="false">
      <c r="A20" s="2" t="s">
        <v>1446</v>
      </c>
      <c r="B20" s="5" t="s">
        <v>1447</v>
      </c>
      <c r="C20" s="5" t="s">
        <v>132</v>
      </c>
      <c r="D20" s="5" t="s">
        <v>424</v>
      </c>
      <c r="E20" s="5" t="s">
        <v>425</v>
      </c>
      <c r="F20" s="2" t="s">
        <v>426</v>
      </c>
      <c r="G20" s="5" t="s">
        <v>427</v>
      </c>
      <c r="H20" s="5" t="s">
        <v>428</v>
      </c>
      <c r="I20" s="5" t="s">
        <v>346</v>
      </c>
      <c r="J20" s="5"/>
      <c r="K20" s="5" t="s">
        <v>429</v>
      </c>
      <c r="L20" s="5" t="s">
        <v>142</v>
      </c>
    </row>
    <row r="21" customFormat="false" ht="26.85" hidden="false" customHeight="false" outlineLevel="0" collapsed="false">
      <c r="A21" s="2" t="s">
        <v>1448</v>
      </c>
      <c r="B21" s="5" t="s">
        <v>1449</v>
      </c>
      <c r="C21" s="5" t="s">
        <v>132</v>
      </c>
      <c r="D21" s="5" t="s">
        <v>424</v>
      </c>
      <c r="E21" s="5" t="s">
        <v>425</v>
      </c>
      <c r="F21" s="2" t="s">
        <v>426</v>
      </c>
      <c r="G21" s="5" t="s">
        <v>427</v>
      </c>
      <c r="H21" s="5" t="s">
        <v>428</v>
      </c>
      <c r="I21" s="5" t="s">
        <v>346</v>
      </c>
      <c r="J21" s="5"/>
      <c r="K21" s="5" t="s">
        <v>429</v>
      </c>
      <c r="L21" s="5" t="s">
        <v>142</v>
      </c>
    </row>
  </sheetData>
  <autoFilter ref="A1:L2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1450</v>
      </c>
      <c r="B2" s="5" t="s">
        <v>1451</v>
      </c>
      <c r="C2" s="5" t="s">
        <v>119</v>
      </c>
      <c r="D2" s="5" t="s">
        <v>30</v>
      </c>
      <c r="E2" s="5" t="s">
        <v>123</v>
      </c>
      <c r="F2" s="2" t="s">
        <v>344</v>
      </c>
      <c r="G2" s="5" t="s">
        <v>345</v>
      </c>
      <c r="H2" s="5" t="s">
        <v>265</v>
      </c>
      <c r="I2" s="5" t="s">
        <v>346</v>
      </c>
      <c r="J2" s="5" t="s">
        <v>1452</v>
      </c>
      <c r="K2" s="5" t="s">
        <v>1453</v>
      </c>
      <c r="L2" s="5" t="s">
        <v>131</v>
      </c>
    </row>
    <row r="3" customFormat="false" ht="26.85" hidden="false" customHeight="false" outlineLevel="0" collapsed="false">
      <c r="A3" s="2" t="s">
        <v>1454</v>
      </c>
      <c r="B3" s="5" t="s">
        <v>1455</v>
      </c>
      <c r="C3" s="5" t="s">
        <v>119</v>
      </c>
      <c r="D3" s="5" t="s">
        <v>31</v>
      </c>
      <c r="E3" s="5" t="s">
        <v>123</v>
      </c>
      <c r="F3" s="2" t="s">
        <v>344</v>
      </c>
      <c r="G3" s="5" t="s">
        <v>436</v>
      </c>
      <c r="H3" s="5" t="s">
        <v>265</v>
      </c>
      <c r="I3" s="5" t="s">
        <v>346</v>
      </c>
      <c r="J3" s="5" t="s">
        <v>1456</v>
      </c>
      <c r="K3" s="5" t="s">
        <v>1457</v>
      </c>
      <c r="L3" s="5" t="s">
        <v>131</v>
      </c>
    </row>
    <row r="4" customFormat="false" ht="26.85" hidden="false" customHeight="false" outlineLevel="0" collapsed="false">
      <c r="A4" s="2" t="s">
        <v>1458</v>
      </c>
      <c r="B4" s="5" t="s">
        <v>1459</v>
      </c>
      <c r="C4" s="5" t="s">
        <v>119</v>
      </c>
      <c r="D4" s="5" t="s">
        <v>32</v>
      </c>
      <c r="E4" s="5" t="s">
        <v>123</v>
      </c>
      <c r="F4" s="2" t="s">
        <v>344</v>
      </c>
      <c r="G4" s="5" t="s">
        <v>345</v>
      </c>
      <c r="H4" s="5" t="s">
        <v>265</v>
      </c>
      <c r="I4" s="5" t="s">
        <v>346</v>
      </c>
      <c r="J4" s="5" t="s">
        <v>1460</v>
      </c>
      <c r="K4" s="5" t="s">
        <v>1461</v>
      </c>
      <c r="L4" s="5" t="s">
        <v>131</v>
      </c>
    </row>
    <row r="5" customFormat="false" ht="26.85" hidden="false" customHeight="false" outlineLevel="0" collapsed="false">
      <c r="A5" s="2" t="s">
        <v>1462</v>
      </c>
      <c r="B5" s="5" t="s">
        <v>1463</v>
      </c>
      <c r="C5" s="5" t="s">
        <v>119</v>
      </c>
      <c r="D5" s="5" t="s">
        <v>33</v>
      </c>
      <c r="E5" s="5" t="s">
        <v>123</v>
      </c>
      <c r="F5" s="2" t="s">
        <v>344</v>
      </c>
      <c r="G5" s="5" t="s">
        <v>382</v>
      </c>
      <c r="H5" s="5" t="s">
        <v>265</v>
      </c>
      <c r="I5" s="5" t="s">
        <v>346</v>
      </c>
      <c r="J5" s="5" t="s">
        <v>1464</v>
      </c>
      <c r="K5" s="5" t="s">
        <v>1465</v>
      </c>
      <c r="L5" s="5" t="s">
        <v>131</v>
      </c>
    </row>
    <row r="6" customFormat="false" ht="26.85" hidden="false" customHeight="false" outlineLevel="0" collapsed="false">
      <c r="A6" s="2" t="s">
        <v>1466</v>
      </c>
      <c r="B6" s="5" t="s">
        <v>1467</v>
      </c>
      <c r="C6" s="5" t="s">
        <v>119</v>
      </c>
      <c r="D6" s="5" t="s">
        <v>32</v>
      </c>
      <c r="E6" s="5" t="s">
        <v>123</v>
      </c>
      <c r="F6" s="2" t="s">
        <v>344</v>
      </c>
      <c r="G6" s="5" t="s">
        <v>345</v>
      </c>
      <c r="H6" s="5" t="s">
        <v>265</v>
      </c>
      <c r="I6" s="5" t="s">
        <v>346</v>
      </c>
      <c r="J6" s="5" t="s">
        <v>1468</v>
      </c>
      <c r="K6" s="5" t="s">
        <v>1469</v>
      </c>
      <c r="L6" s="5" t="s">
        <v>131</v>
      </c>
    </row>
    <row r="7" customFormat="false" ht="26.85" hidden="false" customHeight="false" outlineLevel="0" collapsed="false">
      <c r="A7" s="2" t="s">
        <v>1470</v>
      </c>
      <c r="B7" s="5" t="s">
        <v>1471</v>
      </c>
      <c r="C7" s="5" t="s">
        <v>119</v>
      </c>
      <c r="D7" s="5" t="s">
        <v>33</v>
      </c>
      <c r="E7" s="5" t="s">
        <v>123</v>
      </c>
      <c r="F7" s="2" t="s">
        <v>344</v>
      </c>
      <c r="G7" s="5" t="s">
        <v>345</v>
      </c>
      <c r="H7" s="5" t="s">
        <v>265</v>
      </c>
      <c r="I7" s="5" t="s">
        <v>346</v>
      </c>
      <c r="J7" s="5" t="s">
        <v>1472</v>
      </c>
      <c r="K7" s="5" t="s">
        <v>1473</v>
      </c>
      <c r="L7" s="5" t="s">
        <v>131</v>
      </c>
    </row>
    <row r="8" customFormat="false" ht="26.85" hidden="false" customHeight="false" outlineLevel="0" collapsed="false">
      <c r="A8" s="2" t="s">
        <v>1474</v>
      </c>
      <c r="B8" s="5" t="s">
        <v>1475</v>
      </c>
      <c r="C8" s="5" t="s">
        <v>119</v>
      </c>
      <c r="D8" s="5" t="s">
        <v>33</v>
      </c>
      <c r="E8" s="5" t="s">
        <v>123</v>
      </c>
      <c r="F8" s="2" t="s">
        <v>344</v>
      </c>
      <c r="G8" s="5" t="s">
        <v>345</v>
      </c>
      <c r="H8" s="5" t="s">
        <v>265</v>
      </c>
      <c r="I8" s="5" t="s">
        <v>368</v>
      </c>
      <c r="J8" s="5" t="s">
        <v>1476</v>
      </c>
      <c r="K8" s="5" t="s">
        <v>1477</v>
      </c>
      <c r="L8" s="5" t="s">
        <v>131</v>
      </c>
    </row>
    <row r="9" customFormat="false" ht="26.85" hidden="false" customHeight="false" outlineLevel="0" collapsed="false">
      <c r="A9" s="2" t="s">
        <v>1478</v>
      </c>
      <c r="B9" s="5" t="s">
        <v>1479</v>
      </c>
      <c r="C9" s="5" t="s">
        <v>119</v>
      </c>
      <c r="D9" s="5" t="s">
        <v>30</v>
      </c>
      <c r="E9" s="5" t="s">
        <v>123</v>
      </c>
      <c r="F9" s="2" t="s">
        <v>344</v>
      </c>
      <c r="G9" s="5" t="s">
        <v>345</v>
      </c>
      <c r="H9" s="5" t="s">
        <v>265</v>
      </c>
      <c r="I9" s="5" t="s">
        <v>346</v>
      </c>
      <c r="J9" s="5" t="s">
        <v>1480</v>
      </c>
      <c r="K9" s="5" t="s">
        <v>1481</v>
      </c>
      <c r="L9" s="5" t="s">
        <v>131</v>
      </c>
    </row>
    <row r="10" customFormat="false" ht="39.55" hidden="false" customHeight="false" outlineLevel="0" collapsed="false">
      <c r="A10" s="2" t="s">
        <v>1482</v>
      </c>
      <c r="B10" s="5" t="s">
        <v>1483</v>
      </c>
      <c r="C10" s="5" t="s">
        <v>716</v>
      </c>
      <c r="D10" s="5" t="s">
        <v>717</v>
      </c>
      <c r="E10" s="5" t="s">
        <v>718</v>
      </c>
      <c r="F10" s="2" t="s">
        <v>719</v>
      </c>
      <c r="G10" s="5" t="s">
        <v>720</v>
      </c>
      <c r="H10" s="5" t="s">
        <v>428</v>
      </c>
      <c r="I10" s="5" t="s">
        <v>488</v>
      </c>
      <c r="J10" s="5"/>
      <c r="K10" s="5" t="s">
        <v>197</v>
      </c>
      <c r="L10" s="5" t="s">
        <v>142</v>
      </c>
    </row>
    <row r="11" customFormat="false" ht="26.85" hidden="false" customHeight="false" outlineLevel="0" collapsed="false">
      <c r="A11" s="2" t="s">
        <v>1484</v>
      </c>
      <c r="B11" s="5" t="s">
        <v>1485</v>
      </c>
      <c r="C11" s="5" t="s">
        <v>411</v>
      </c>
      <c r="D11" s="5" t="s">
        <v>412</v>
      </c>
      <c r="E11" s="5" t="s">
        <v>413</v>
      </c>
      <c r="F11" s="2" t="s">
        <v>414</v>
      </c>
      <c r="G11" s="5" t="s">
        <v>265</v>
      </c>
      <c r="H11" s="5" t="s">
        <v>265</v>
      </c>
      <c r="I11" s="5" t="s">
        <v>346</v>
      </c>
      <c r="J11" s="5"/>
      <c r="K11" s="5" t="s">
        <v>415</v>
      </c>
      <c r="L11" s="5" t="s">
        <v>176</v>
      </c>
    </row>
  </sheetData>
  <autoFilter ref="A1:L1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1486</v>
      </c>
      <c r="B2" s="5" t="s">
        <v>1487</v>
      </c>
      <c r="C2" s="5" t="s">
        <v>119</v>
      </c>
      <c r="D2" s="5" t="s">
        <v>30</v>
      </c>
      <c r="E2" s="5" t="s">
        <v>123</v>
      </c>
      <c r="F2" s="2" t="s">
        <v>344</v>
      </c>
      <c r="G2" s="5" t="s">
        <v>345</v>
      </c>
      <c r="H2" s="5" t="s">
        <v>265</v>
      </c>
      <c r="I2" s="5" t="s">
        <v>346</v>
      </c>
      <c r="J2" s="5" t="s">
        <v>1488</v>
      </c>
      <c r="K2" s="5" t="s">
        <v>1489</v>
      </c>
      <c r="L2" s="5" t="s">
        <v>131</v>
      </c>
    </row>
    <row r="3" customFormat="false" ht="26.85" hidden="false" customHeight="false" outlineLevel="0" collapsed="false">
      <c r="A3" s="2" t="s">
        <v>1490</v>
      </c>
      <c r="B3" s="5" t="s">
        <v>1491</v>
      </c>
      <c r="C3" s="5" t="s">
        <v>119</v>
      </c>
      <c r="D3" s="5" t="s">
        <v>33</v>
      </c>
      <c r="E3" s="5" t="s">
        <v>123</v>
      </c>
      <c r="F3" s="2" t="s">
        <v>344</v>
      </c>
      <c r="G3" s="5" t="s">
        <v>345</v>
      </c>
      <c r="H3" s="5" t="s">
        <v>265</v>
      </c>
      <c r="I3" s="5" t="s">
        <v>346</v>
      </c>
      <c r="J3" s="5" t="s">
        <v>1492</v>
      </c>
      <c r="K3" s="5" t="s">
        <v>1493</v>
      </c>
      <c r="L3" s="5" t="s">
        <v>131</v>
      </c>
    </row>
    <row r="4" customFormat="false" ht="26.85" hidden="false" customHeight="false" outlineLevel="0" collapsed="false">
      <c r="A4" s="2" t="s">
        <v>1494</v>
      </c>
      <c r="B4" s="5" t="s">
        <v>1495</v>
      </c>
      <c r="C4" s="5" t="s">
        <v>119</v>
      </c>
      <c r="D4" s="5" t="s">
        <v>31</v>
      </c>
      <c r="E4" s="5" t="s">
        <v>123</v>
      </c>
      <c r="F4" s="2" t="s">
        <v>344</v>
      </c>
      <c r="G4" s="5" t="s">
        <v>382</v>
      </c>
      <c r="H4" s="5" t="s">
        <v>265</v>
      </c>
      <c r="I4" s="5" t="s">
        <v>346</v>
      </c>
      <c r="J4" s="5" t="s">
        <v>1496</v>
      </c>
      <c r="K4" s="5" t="s">
        <v>1497</v>
      </c>
      <c r="L4" s="5" t="s">
        <v>131</v>
      </c>
    </row>
    <row r="5" customFormat="false" ht="26.85" hidden="false" customHeight="false" outlineLevel="0" collapsed="false">
      <c r="A5" s="2" t="s">
        <v>1498</v>
      </c>
      <c r="B5" s="5" t="s">
        <v>1499</v>
      </c>
      <c r="C5" s="5" t="s">
        <v>119</v>
      </c>
      <c r="D5" s="5" t="s">
        <v>33</v>
      </c>
      <c r="E5" s="5" t="s">
        <v>123</v>
      </c>
      <c r="F5" s="2" t="s">
        <v>344</v>
      </c>
      <c r="G5" s="5" t="s">
        <v>345</v>
      </c>
      <c r="H5" s="5" t="s">
        <v>265</v>
      </c>
      <c r="I5" s="5" t="s">
        <v>346</v>
      </c>
      <c r="J5" s="5" t="s">
        <v>1500</v>
      </c>
      <c r="K5" s="5" t="s">
        <v>1501</v>
      </c>
      <c r="L5" s="5" t="s">
        <v>131</v>
      </c>
    </row>
    <row r="6" customFormat="false" ht="26.85" hidden="false" customHeight="false" outlineLevel="0" collapsed="false">
      <c r="A6" s="2" t="s">
        <v>1502</v>
      </c>
      <c r="B6" s="5" t="s">
        <v>1214</v>
      </c>
      <c r="C6" s="5" t="s">
        <v>119</v>
      </c>
      <c r="D6" s="5" t="s">
        <v>30</v>
      </c>
      <c r="E6" s="5" t="s">
        <v>123</v>
      </c>
      <c r="F6" s="2" t="s">
        <v>344</v>
      </c>
      <c r="G6" s="5" t="s">
        <v>436</v>
      </c>
      <c r="H6" s="5" t="s">
        <v>265</v>
      </c>
      <c r="I6" s="5" t="s">
        <v>346</v>
      </c>
      <c r="J6" s="5" t="s">
        <v>1503</v>
      </c>
      <c r="K6" s="5" t="s">
        <v>1504</v>
      </c>
      <c r="L6" s="5" t="s">
        <v>131</v>
      </c>
    </row>
    <row r="7" customFormat="false" ht="26.85" hidden="false" customHeight="false" outlineLevel="0" collapsed="false">
      <c r="A7" s="2" t="s">
        <v>1505</v>
      </c>
      <c r="B7" s="5" t="s">
        <v>1506</v>
      </c>
      <c r="C7" s="5" t="s">
        <v>119</v>
      </c>
      <c r="D7" s="5" t="s">
        <v>31</v>
      </c>
      <c r="E7" s="5" t="s">
        <v>123</v>
      </c>
      <c r="F7" s="2" t="s">
        <v>344</v>
      </c>
      <c r="G7" s="5" t="s">
        <v>345</v>
      </c>
      <c r="H7" s="5" t="s">
        <v>265</v>
      </c>
      <c r="I7" s="5" t="s">
        <v>346</v>
      </c>
      <c r="J7" s="5" t="s">
        <v>1507</v>
      </c>
      <c r="K7" s="5" t="s">
        <v>1508</v>
      </c>
      <c r="L7" s="5" t="s">
        <v>131</v>
      </c>
    </row>
    <row r="8" customFormat="false" ht="26.85" hidden="false" customHeight="false" outlineLevel="0" collapsed="false">
      <c r="A8" s="2" t="s">
        <v>1509</v>
      </c>
      <c r="B8" s="5" t="s">
        <v>1510</v>
      </c>
      <c r="C8" s="5" t="s">
        <v>119</v>
      </c>
      <c r="D8" s="5" t="s">
        <v>34</v>
      </c>
      <c r="E8" s="5" t="s">
        <v>123</v>
      </c>
      <c r="F8" s="2" t="s">
        <v>344</v>
      </c>
      <c r="G8" s="5" t="s">
        <v>345</v>
      </c>
      <c r="H8" s="5" t="s">
        <v>265</v>
      </c>
      <c r="I8" s="5" t="s">
        <v>346</v>
      </c>
      <c r="J8" s="5" t="s">
        <v>1511</v>
      </c>
      <c r="K8" s="5" t="s">
        <v>1512</v>
      </c>
      <c r="L8" s="5" t="s">
        <v>131</v>
      </c>
    </row>
    <row r="9" customFormat="false" ht="26.85" hidden="false" customHeight="false" outlineLevel="0" collapsed="false">
      <c r="A9" s="2" t="s">
        <v>1513</v>
      </c>
      <c r="B9" s="5" t="s">
        <v>1514</v>
      </c>
      <c r="C9" s="5" t="s">
        <v>119</v>
      </c>
      <c r="D9" s="5" t="s">
        <v>34</v>
      </c>
      <c r="E9" s="5" t="s">
        <v>123</v>
      </c>
      <c r="F9" s="2" t="s">
        <v>344</v>
      </c>
      <c r="G9" s="5" t="s">
        <v>373</v>
      </c>
      <c r="H9" s="5" t="s">
        <v>104</v>
      </c>
      <c r="I9" s="5" t="s">
        <v>346</v>
      </c>
      <c r="J9" s="5" t="s">
        <v>1515</v>
      </c>
      <c r="K9" s="5" t="s">
        <v>1516</v>
      </c>
      <c r="L9" s="5" t="s">
        <v>131</v>
      </c>
    </row>
    <row r="10" customFormat="false" ht="26.85" hidden="false" customHeight="false" outlineLevel="0" collapsed="false">
      <c r="A10" s="2" t="s">
        <v>1517</v>
      </c>
      <c r="B10" s="5" t="s">
        <v>1518</v>
      </c>
      <c r="C10" s="5" t="s">
        <v>119</v>
      </c>
      <c r="D10" s="5" t="s">
        <v>33</v>
      </c>
      <c r="E10" s="5" t="s">
        <v>123</v>
      </c>
      <c r="F10" s="2" t="s">
        <v>344</v>
      </c>
      <c r="G10" s="5" t="s">
        <v>345</v>
      </c>
      <c r="H10" s="5" t="s">
        <v>265</v>
      </c>
      <c r="I10" s="5" t="s">
        <v>346</v>
      </c>
      <c r="J10" s="5" t="s">
        <v>1519</v>
      </c>
      <c r="K10" s="5" t="s">
        <v>1520</v>
      </c>
      <c r="L10" s="5" t="s">
        <v>131</v>
      </c>
    </row>
    <row r="11" customFormat="false" ht="39.55" hidden="false" customHeight="false" outlineLevel="0" collapsed="false">
      <c r="A11" s="2" t="s">
        <v>1521</v>
      </c>
      <c r="B11" s="5" t="s">
        <v>1522</v>
      </c>
      <c r="C11" s="5" t="s">
        <v>716</v>
      </c>
      <c r="D11" s="5" t="s">
        <v>717</v>
      </c>
      <c r="E11" s="5" t="s">
        <v>718</v>
      </c>
      <c r="F11" s="2" t="s">
        <v>719</v>
      </c>
      <c r="G11" s="5" t="s">
        <v>720</v>
      </c>
      <c r="H11" s="5" t="s">
        <v>428</v>
      </c>
      <c r="I11" s="5" t="s">
        <v>488</v>
      </c>
      <c r="J11" s="5"/>
      <c r="K11" s="5" t="s">
        <v>197</v>
      </c>
      <c r="L11" s="5" t="s">
        <v>142</v>
      </c>
    </row>
    <row r="12" customFormat="false" ht="26.85" hidden="false" customHeight="false" outlineLevel="0" collapsed="false">
      <c r="A12" s="8" t="s">
        <v>1523</v>
      </c>
      <c r="B12" s="9" t="s">
        <v>1524</v>
      </c>
      <c r="C12" s="9" t="s">
        <v>153</v>
      </c>
      <c r="D12" s="9" t="s">
        <v>485</v>
      </c>
      <c r="E12" s="9" t="s">
        <v>486</v>
      </c>
      <c r="F12" s="8" t="s">
        <v>487</v>
      </c>
      <c r="G12" s="9" t="s">
        <v>190</v>
      </c>
      <c r="H12" s="9" t="s">
        <v>190</v>
      </c>
      <c r="I12" s="9" t="s">
        <v>488</v>
      </c>
      <c r="J12" s="9"/>
      <c r="K12" s="9" t="s">
        <v>164</v>
      </c>
      <c r="L12" s="9" t="s">
        <v>131</v>
      </c>
    </row>
    <row r="13" customFormat="false" ht="26.85" hidden="false" customHeight="false" outlineLevel="0" collapsed="false">
      <c r="A13" s="8" t="s">
        <v>1525</v>
      </c>
      <c r="B13" s="9" t="s">
        <v>1526</v>
      </c>
      <c r="C13" s="9" t="s">
        <v>153</v>
      </c>
      <c r="D13" s="9" t="s">
        <v>485</v>
      </c>
      <c r="E13" s="9" t="s">
        <v>486</v>
      </c>
      <c r="F13" s="8" t="s">
        <v>487</v>
      </c>
      <c r="G13" s="9" t="s">
        <v>190</v>
      </c>
      <c r="H13" s="9" t="s">
        <v>190</v>
      </c>
      <c r="I13" s="9" t="s">
        <v>488</v>
      </c>
      <c r="J13" s="9"/>
      <c r="K13" s="9" t="s">
        <v>164</v>
      </c>
      <c r="L13" s="9" t="s">
        <v>131</v>
      </c>
    </row>
    <row r="14" customFormat="false" ht="39.55" hidden="false" customHeight="false" outlineLevel="0" collapsed="false">
      <c r="A14" s="2" t="s">
        <v>1527</v>
      </c>
      <c r="B14" s="5" t="s">
        <v>1528</v>
      </c>
      <c r="C14" s="5" t="s">
        <v>177</v>
      </c>
      <c r="D14" s="5" t="s">
        <v>418</v>
      </c>
      <c r="E14" s="5" t="s">
        <v>1529</v>
      </c>
      <c r="F14" s="2" t="s">
        <v>420</v>
      </c>
      <c r="G14" s="5" t="s">
        <v>1530</v>
      </c>
      <c r="H14" s="5" t="s">
        <v>265</v>
      </c>
      <c r="I14" s="5" t="s">
        <v>346</v>
      </c>
      <c r="J14" s="5"/>
      <c r="K14" s="5" t="s">
        <v>187</v>
      </c>
      <c r="L14" s="5" t="s">
        <v>142</v>
      </c>
    </row>
    <row r="15" customFormat="false" ht="39.55" hidden="false" customHeight="false" outlineLevel="0" collapsed="false">
      <c r="A15" s="8" t="s">
        <v>1531</v>
      </c>
      <c r="B15" s="9" t="s">
        <v>1532</v>
      </c>
      <c r="C15" s="9" t="s">
        <v>177</v>
      </c>
      <c r="D15" s="9" t="s">
        <v>418</v>
      </c>
      <c r="E15" s="9" t="s">
        <v>1533</v>
      </c>
      <c r="F15" s="8" t="s">
        <v>420</v>
      </c>
      <c r="G15" s="9" t="s">
        <v>1534</v>
      </c>
      <c r="H15" s="9" t="s">
        <v>190</v>
      </c>
      <c r="I15" s="9" t="s">
        <v>488</v>
      </c>
      <c r="J15" s="9"/>
      <c r="K15" s="9" t="s">
        <v>187</v>
      </c>
      <c r="L15" s="9" t="s">
        <v>142</v>
      </c>
    </row>
    <row r="16" customFormat="false" ht="15" hidden="false" customHeight="false" outlineLevel="0" collapsed="false">
      <c r="A16" s="2" t="s">
        <v>1535</v>
      </c>
      <c r="B16" s="5" t="s">
        <v>1536</v>
      </c>
      <c r="C16" s="5" t="s">
        <v>264</v>
      </c>
      <c r="D16" s="5" t="s">
        <v>828</v>
      </c>
      <c r="E16" s="5" t="s">
        <v>302</v>
      </c>
      <c r="F16" s="2" t="s">
        <v>829</v>
      </c>
      <c r="G16" s="5" t="s">
        <v>1144</v>
      </c>
      <c r="H16" s="5" t="s">
        <v>265</v>
      </c>
      <c r="I16" s="5" t="s">
        <v>346</v>
      </c>
      <c r="J16" s="5"/>
      <c r="K16" s="5" t="s">
        <v>273</v>
      </c>
      <c r="L16" s="5" t="s">
        <v>142</v>
      </c>
    </row>
    <row r="17" customFormat="false" ht="26.85" hidden="false" customHeight="false" outlineLevel="0" collapsed="false">
      <c r="A17" s="2" t="s">
        <v>1537</v>
      </c>
      <c r="B17" s="5" t="s">
        <v>1538</v>
      </c>
      <c r="C17" s="5" t="s">
        <v>132</v>
      </c>
      <c r="D17" s="5" t="s">
        <v>424</v>
      </c>
      <c r="E17" s="5" t="s">
        <v>425</v>
      </c>
      <c r="F17" s="2" t="s">
        <v>426</v>
      </c>
      <c r="G17" s="5" t="s">
        <v>427</v>
      </c>
      <c r="H17" s="5" t="s">
        <v>428</v>
      </c>
      <c r="I17" s="5" t="s">
        <v>346</v>
      </c>
      <c r="J17" s="5"/>
      <c r="K17" s="5" t="s">
        <v>429</v>
      </c>
      <c r="L17" s="5" t="s">
        <v>142</v>
      </c>
    </row>
    <row r="18" customFormat="false" ht="26.85" hidden="false" customHeight="false" outlineLevel="0" collapsed="false">
      <c r="A18" s="2" t="s">
        <v>1539</v>
      </c>
      <c r="B18" s="5" t="s">
        <v>1540</v>
      </c>
      <c r="C18" s="5" t="s">
        <v>132</v>
      </c>
      <c r="D18" s="5" t="s">
        <v>424</v>
      </c>
      <c r="E18" s="5" t="s">
        <v>425</v>
      </c>
      <c r="F18" s="2" t="s">
        <v>426</v>
      </c>
      <c r="G18" s="5" t="s">
        <v>427</v>
      </c>
      <c r="H18" s="5" t="s">
        <v>428</v>
      </c>
      <c r="I18" s="5" t="s">
        <v>346</v>
      </c>
      <c r="J18" s="5"/>
      <c r="K18" s="5" t="s">
        <v>429</v>
      </c>
      <c r="L18" s="5" t="s">
        <v>142</v>
      </c>
    </row>
    <row r="19" customFormat="false" ht="26.85" hidden="false" customHeight="false" outlineLevel="0" collapsed="false">
      <c r="A19" s="2" t="s">
        <v>1541</v>
      </c>
      <c r="B19" s="5" t="s">
        <v>1542</v>
      </c>
      <c r="C19" s="5" t="s">
        <v>132</v>
      </c>
      <c r="D19" s="5" t="s">
        <v>424</v>
      </c>
      <c r="E19" s="5" t="s">
        <v>425</v>
      </c>
      <c r="F19" s="2" t="s">
        <v>426</v>
      </c>
      <c r="G19" s="5" t="s">
        <v>427</v>
      </c>
      <c r="H19" s="5" t="s">
        <v>428</v>
      </c>
      <c r="I19" s="5" t="s">
        <v>346</v>
      </c>
      <c r="J19" s="5"/>
      <c r="K19" s="5" t="s">
        <v>429</v>
      </c>
      <c r="L19" s="5" t="s">
        <v>142</v>
      </c>
    </row>
    <row r="20" customFormat="false" ht="26.85" hidden="false" customHeight="false" outlineLevel="0" collapsed="false">
      <c r="A20" s="2" t="s">
        <v>1543</v>
      </c>
      <c r="B20" s="5" t="s">
        <v>1544</v>
      </c>
      <c r="C20" s="5" t="s">
        <v>132</v>
      </c>
      <c r="D20" s="5" t="s">
        <v>424</v>
      </c>
      <c r="E20" s="5" t="s">
        <v>425</v>
      </c>
      <c r="F20" s="2" t="s">
        <v>426</v>
      </c>
      <c r="G20" s="5" t="s">
        <v>427</v>
      </c>
      <c r="H20" s="5" t="s">
        <v>428</v>
      </c>
      <c r="I20" s="5" t="s">
        <v>346</v>
      </c>
      <c r="J20" s="5"/>
      <c r="K20" s="5" t="s">
        <v>429</v>
      </c>
      <c r="L20" s="5" t="s">
        <v>142</v>
      </c>
    </row>
  </sheetData>
  <autoFilter ref="A1:L20"/>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2" t="s">
        <v>1545</v>
      </c>
      <c r="B2" s="5" t="s">
        <v>1546</v>
      </c>
      <c r="C2" s="5" t="s">
        <v>119</v>
      </c>
      <c r="D2" s="5" t="s">
        <v>34</v>
      </c>
      <c r="E2" s="5" t="s">
        <v>123</v>
      </c>
      <c r="F2" s="2" t="s">
        <v>344</v>
      </c>
      <c r="G2" s="5" t="s">
        <v>345</v>
      </c>
      <c r="H2" s="5" t="s">
        <v>265</v>
      </c>
      <c r="I2" s="5" t="s">
        <v>488</v>
      </c>
      <c r="J2" s="5" t="s">
        <v>1547</v>
      </c>
      <c r="K2" s="5" t="s">
        <v>1548</v>
      </c>
      <c r="L2" s="5" t="s">
        <v>131</v>
      </c>
    </row>
    <row r="3" customFormat="false" ht="26.85" hidden="false" customHeight="false" outlineLevel="0" collapsed="false">
      <c r="A3" s="2" t="s">
        <v>1549</v>
      </c>
      <c r="B3" s="5" t="s">
        <v>1550</v>
      </c>
      <c r="C3" s="5" t="s">
        <v>119</v>
      </c>
      <c r="D3" s="5" t="s">
        <v>30</v>
      </c>
      <c r="E3" s="5" t="s">
        <v>123</v>
      </c>
      <c r="F3" s="2" t="s">
        <v>344</v>
      </c>
      <c r="G3" s="5" t="s">
        <v>345</v>
      </c>
      <c r="H3" s="5" t="s">
        <v>265</v>
      </c>
      <c r="I3" s="5" t="s">
        <v>346</v>
      </c>
      <c r="J3" s="5" t="s">
        <v>1551</v>
      </c>
      <c r="K3" s="5" t="s">
        <v>1552</v>
      </c>
      <c r="L3" s="5" t="s">
        <v>131</v>
      </c>
    </row>
    <row r="4" customFormat="false" ht="26.85" hidden="false" customHeight="false" outlineLevel="0" collapsed="false">
      <c r="A4" s="2" t="s">
        <v>1553</v>
      </c>
      <c r="B4" s="5" t="s">
        <v>1554</v>
      </c>
      <c r="C4" s="5" t="s">
        <v>119</v>
      </c>
      <c r="D4" s="5" t="s">
        <v>31</v>
      </c>
      <c r="E4" s="5" t="s">
        <v>123</v>
      </c>
      <c r="F4" s="2" t="s">
        <v>344</v>
      </c>
      <c r="G4" s="5" t="s">
        <v>345</v>
      </c>
      <c r="H4" s="5" t="s">
        <v>265</v>
      </c>
      <c r="I4" s="5" t="s">
        <v>346</v>
      </c>
      <c r="J4" s="5" t="s">
        <v>1555</v>
      </c>
      <c r="K4" s="5" t="s">
        <v>1556</v>
      </c>
      <c r="L4" s="5" t="s">
        <v>131</v>
      </c>
    </row>
    <row r="5" customFormat="false" ht="26.85" hidden="false" customHeight="false" outlineLevel="0" collapsed="false">
      <c r="A5" s="2" t="s">
        <v>1557</v>
      </c>
      <c r="B5" s="5" t="s">
        <v>1558</v>
      </c>
      <c r="C5" s="5" t="s">
        <v>119</v>
      </c>
      <c r="D5" s="5" t="s">
        <v>30</v>
      </c>
      <c r="E5" s="5" t="s">
        <v>123</v>
      </c>
      <c r="F5" s="2" t="s">
        <v>344</v>
      </c>
      <c r="G5" s="5" t="s">
        <v>436</v>
      </c>
      <c r="H5" s="5" t="s">
        <v>265</v>
      </c>
      <c r="I5" s="5" t="s">
        <v>346</v>
      </c>
      <c r="J5" s="5" t="s">
        <v>1559</v>
      </c>
      <c r="K5" s="5" t="s">
        <v>1560</v>
      </c>
      <c r="L5" s="5" t="s">
        <v>131</v>
      </c>
    </row>
    <row r="6" customFormat="false" ht="26.85" hidden="false" customHeight="false" outlineLevel="0" collapsed="false">
      <c r="A6" s="2" t="s">
        <v>1561</v>
      </c>
      <c r="B6" s="5" t="s">
        <v>1562</v>
      </c>
      <c r="C6" s="5" t="s">
        <v>119</v>
      </c>
      <c r="D6" s="5" t="s">
        <v>32</v>
      </c>
      <c r="E6" s="5" t="s">
        <v>123</v>
      </c>
      <c r="F6" s="2" t="s">
        <v>344</v>
      </c>
      <c r="G6" s="5" t="s">
        <v>345</v>
      </c>
      <c r="H6" s="5" t="s">
        <v>265</v>
      </c>
      <c r="I6" s="5" t="s">
        <v>346</v>
      </c>
      <c r="J6" s="5" t="s">
        <v>1563</v>
      </c>
      <c r="K6" s="5" t="s">
        <v>1564</v>
      </c>
      <c r="L6" s="5" t="s">
        <v>131</v>
      </c>
    </row>
    <row r="7" customFormat="false" ht="26.85" hidden="false" customHeight="false" outlineLevel="0" collapsed="false">
      <c r="A7" s="2" t="s">
        <v>1565</v>
      </c>
      <c r="B7" s="5" t="s">
        <v>1566</v>
      </c>
      <c r="C7" s="5" t="s">
        <v>119</v>
      </c>
      <c r="D7" s="5" t="s">
        <v>34</v>
      </c>
      <c r="E7" s="5" t="s">
        <v>123</v>
      </c>
      <c r="F7" s="2" t="s">
        <v>344</v>
      </c>
      <c r="G7" s="5" t="s">
        <v>373</v>
      </c>
      <c r="H7" s="5" t="s">
        <v>104</v>
      </c>
      <c r="I7" s="5" t="s">
        <v>346</v>
      </c>
      <c r="J7" s="5" t="s">
        <v>1567</v>
      </c>
      <c r="K7" s="5" t="s">
        <v>1568</v>
      </c>
      <c r="L7" s="5" t="s">
        <v>131</v>
      </c>
    </row>
    <row r="8" customFormat="false" ht="26.85" hidden="false" customHeight="false" outlineLevel="0" collapsed="false">
      <c r="A8" s="2" t="s">
        <v>1569</v>
      </c>
      <c r="B8" s="5" t="s">
        <v>1570</v>
      </c>
      <c r="C8" s="5" t="s">
        <v>119</v>
      </c>
      <c r="D8" s="5" t="s">
        <v>34</v>
      </c>
      <c r="E8" s="5" t="s">
        <v>123</v>
      </c>
      <c r="F8" s="2" t="s">
        <v>344</v>
      </c>
      <c r="G8" s="5" t="s">
        <v>345</v>
      </c>
      <c r="H8" s="5" t="s">
        <v>265</v>
      </c>
      <c r="I8" s="5" t="s">
        <v>346</v>
      </c>
      <c r="J8" s="5" t="s">
        <v>1571</v>
      </c>
      <c r="K8" s="5" t="s">
        <v>1572</v>
      </c>
      <c r="L8" s="5" t="s">
        <v>131</v>
      </c>
    </row>
    <row r="9" customFormat="false" ht="26.85" hidden="false" customHeight="false" outlineLevel="0" collapsed="false">
      <c r="A9" s="2" t="s">
        <v>1573</v>
      </c>
      <c r="B9" s="5" t="s">
        <v>1574</v>
      </c>
      <c r="C9" s="5" t="s">
        <v>119</v>
      </c>
      <c r="D9" s="5" t="s">
        <v>34</v>
      </c>
      <c r="E9" s="5" t="s">
        <v>123</v>
      </c>
      <c r="F9" s="2" t="s">
        <v>344</v>
      </c>
      <c r="G9" s="5" t="s">
        <v>345</v>
      </c>
      <c r="H9" s="5" t="s">
        <v>265</v>
      </c>
      <c r="I9" s="5" t="s">
        <v>346</v>
      </c>
      <c r="J9" s="5" t="s">
        <v>1575</v>
      </c>
      <c r="K9" s="5" t="s">
        <v>1576</v>
      </c>
      <c r="L9" s="5" t="s">
        <v>131</v>
      </c>
    </row>
    <row r="10" customFormat="false" ht="39.55" hidden="false" customHeight="false" outlineLevel="0" collapsed="false">
      <c r="A10" s="2" t="s">
        <v>1577</v>
      </c>
      <c r="B10" s="5" t="s">
        <v>1578</v>
      </c>
      <c r="C10" s="5" t="s">
        <v>177</v>
      </c>
      <c r="D10" s="5" t="s">
        <v>418</v>
      </c>
      <c r="E10" s="5" t="s">
        <v>413</v>
      </c>
      <c r="F10" s="2" t="s">
        <v>420</v>
      </c>
      <c r="G10" s="5" t="s">
        <v>121</v>
      </c>
      <c r="H10" s="5" t="s">
        <v>265</v>
      </c>
      <c r="I10" s="5" t="s">
        <v>346</v>
      </c>
      <c r="J10" s="5"/>
      <c r="K10" s="5" t="s">
        <v>187</v>
      </c>
      <c r="L10" s="5" t="s">
        <v>142</v>
      </c>
    </row>
    <row r="11" customFormat="false" ht="26.85" hidden="false" customHeight="false" outlineLevel="0" collapsed="false">
      <c r="A11" s="2" t="s">
        <v>1579</v>
      </c>
      <c r="B11" s="5" t="s">
        <v>1580</v>
      </c>
      <c r="C11" s="5" t="s">
        <v>132</v>
      </c>
      <c r="D11" s="5" t="s">
        <v>424</v>
      </c>
      <c r="E11" s="5" t="s">
        <v>425</v>
      </c>
      <c r="F11" s="2" t="s">
        <v>426</v>
      </c>
      <c r="G11" s="5" t="s">
        <v>427</v>
      </c>
      <c r="H11" s="5" t="s">
        <v>428</v>
      </c>
      <c r="I11" s="5" t="s">
        <v>346</v>
      </c>
      <c r="J11" s="5"/>
      <c r="K11" s="5" t="s">
        <v>429</v>
      </c>
      <c r="L11" s="5" t="s">
        <v>142</v>
      </c>
    </row>
    <row r="12" customFormat="false" ht="26.85" hidden="false" customHeight="false" outlineLevel="0" collapsed="false">
      <c r="A12" s="2" t="s">
        <v>1581</v>
      </c>
      <c r="B12" s="5" t="s">
        <v>1582</v>
      </c>
      <c r="C12" s="5" t="s">
        <v>132</v>
      </c>
      <c r="D12" s="5" t="s">
        <v>424</v>
      </c>
      <c r="E12" s="5" t="s">
        <v>425</v>
      </c>
      <c r="F12" s="2" t="s">
        <v>426</v>
      </c>
      <c r="G12" s="5" t="s">
        <v>427</v>
      </c>
      <c r="H12" s="5" t="s">
        <v>428</v>
      </c>
      <c r="I12" s="5" t="s">
        <v>346</v>
      </c>
      <c r="J12" s="5"/>
      <c r="K12" s="5" t="s">
        <v>429</v>
      </c>
      <c r="L12" s="5" t="s">
        <v>142</v>
      </c>
    </row>
    <row r="13" customFormat="false" ht="26.85" hidden="false" customHeight="false" outlineLevel="0" collapsed="false">
      <c r="A13" s="2" t="s">
        <v>1583</v>
      </c>
      <c r="B13" s="5" t="s">
        <v>1584</v>
      </c>
      <c r="C13" s="5" t="s">
        <v>132</v>
      </c>
      <c r="D13" s="5" t="s">
        <v>424</v>
      </c>
      <c r="E13" s="5" t="s">
        <v>425</v>
      </c>
      <c r="F13" s="2" t="s">
        <v>426</v>
      </c>
      <c r="G13" s="5" t="s">
        <v>427</v>
      </c>
      <c r="H13" s="5" t="s">
        <v>428</v>
      </c>
      <c r="I13" s="5" t="s">
        <v>346</v>
      </c>
      <c r="J13" s="5"/>
      <c r="K13" s="5" t="s">
        <v>429</v>
      </c>
      <c r="L13" s="5" t="s">
        <v>142</v>
      </c>
    </row>
  </sheetData>
  <autoFilter ref="A1:L13"/>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8" t="s">
        <v>1585</v>
      </c>
      <c r="B2" s="9" t="s">
        <v>1586</v>
      </c>
      <c r="C2" s="9" t="s">
        <v>119</v>
      </c>
      <c r="D2" s="9" t="s">
        <v>31</v>
      </c>
      <c r="E2" s="9" t="s">
        <v>123</v>
      </c>
      <c r="F2" s="8" t="s">
        <v>344</v>
      </c>
      <c r="G2" s="9" t="s">
        <v>695</v>
      </c>
      <c r="H2" s="9" t="s">
        <v>190</v>
      </c>
      <c r="I2" s="9" t="s">
        <v>488</v>
      </c>
      <c r="J2" s="9" t="s">
        <v>1587</v>
      </c>
      <c r="K2" s="9" t="s">
        <v>1588</v>
      </c>
      <c r="L2" s="9" t="s">
        <v>131</v>
      </c>
    </row>
    <row r="3" customFormat="false" ht="26.85" hidden="false" customHeight="false" outlineLevel="0" collapsed="false">
      <c r="A3" s="2" t="s">
        <v>1589</v>
      </c>
      <c r="B3" s="5" t="s">
        <v>1590</v>
      </c>
      <c r="C3" s="5" t="s">
        <v>119</v>
      </c>
      <c r="D3" s="5" t="s">
        <v>32</v>
      </c>
      <c r="E3" s="5" t="s">
        <v>123</v>
      </c>
      <c r="F3" s="2" t="s">
        <v>344</v>
      </c>
      <c r="G3" s="5" t="s">
        <v>775</v>
      </c>
      <c r="H3" s="5" t="s">
        <v>265</v>
      </c>
      <c r="I3" s="5" t="s">
        <v>346</v>
      </c>
      <c r="J3" s="5" t="s">
        <v>1591</v>
      </c>
      <c r="K3" s="5" t="s">
        <v>1592</v>
      </c>
      <c r="L3" s="5" t="s">
        <v>131</v>
      </c>
    </row>
    <row r="4" customFormat="false" ht="26.85" hidden="false" customHeight="false" outlineLevel="0" collapsed="false">
      <c r="A4" s="2" t="s">
        <v>1593</v>
      </c>
      <c r="B4" s="5" t="s">
        <v>1594</v>
      </c>
      <c r="C4" s="5" t="s">
        <v>119</v>
      </c>
      <c r="D4" s="5" t="s">
        <v>30</v>
      </c>
      <c r="E4" s="5" t="s">
        <v>123</v>
      </c>
      <c r="F4" s="2" t="s">
        <v>344</v>
      </c>
      <c r="G4" s="5" t="s">
        <v>345</v>
      </c>
      <c r="H4" s="5" t="s">
        <v>265</v>
      </c>
      <c r="I4" s="5" t="s">
        <v>346</v>
      </c>
      <c r="J4" s="5" t="s">
        <v>1595</v>
      </c>
      <c r="K4" s="5" t="s">
        <v>1596</v>
      </c>
      <c r="L4" s="5" t="s">
        <v>131</v>
      </c>
    </row>
    <row r="5" customFormat="false" ht="26.85" hidden="false" customHeight="false" outlineLevel="0" collapsed="false">
      <c r="A5" s="2" t="s">
        <v>1597</v>
      </c>
      <c r="B5" s="5" t="s">
        <v>1598</v>
      </c>
      <c r="C5" s="5" t="s">
        <v>119</v>
      </c>
      <c r="D5" s="5" t="s">
        <v>30</v>
      </c>
      <c r="E5" s="5" t="s">
        <v>123</v>
      </c>
      <c r="F5" s="2" t="s">
        <v>344</v>
      </c>
      <c r="G5" s="5" t="s">
        <v>436</v>
      </c>
      <c r="H5" s="5" t="s">
        <v>265</v>
      </c>
      <c r="I5" s="5" t="s">
        <v>346</v>
      </c>
      <c r="J5" s="5" t="s">
        <v>1599</v>
      </c>
      <c r="K5" s="5" t="s">
        <v>1600</v>
      </c>
      <c r="L5" s="5" t="s">
        <v>131</v>
      </c>
    </row>
    <row r="6" customFormat="false" ht="26.85" hidden="false" customHeight="false" outlineLevel="0" collapsed="false">
      <c r="A6" s="2" t="s">
        <v>1601</v>
      </c>
      <c r="B6" s="5" t="s">
        <v>1602</v>
      </c>
      <c r="C6" s="5" t="s">
        <v>119</v>
      </c>
      <c r="D6" s="5" t="s">
        <v>30</v>
      </c>
      <c r="E6" s="5" t="s">
        <v>123</v>
      </c>
      <c r="F6" s="2" t="s">
        <v>344</v>
      </c>
      <c r="G6" s="5" t="s">
        <v>345</v>
      </c>
      <c r="H6" s="5" t="s">
        <v>265</v>
      </c>
      <c r="I6" s="5" t="s">
        <v>346</v>
      </c>
      <c r="J6" s="5" t="s">
        <v>1603</v>
      </c>
      <c r="K6" s="5" t="s">
        <v>1604</v>
      </c>
      <c r="L6" s="5" t="s">
        <v>131</v>
      </c>
    </row>
    <row r="7" customFormat="false" ht="26.85" hidden="false" customHeight="false" outlineLevel="0" collapsed="false">
      <c r="A7" s="2" t="s">
        <v>1605</v>
      </c>
      <c r="B7" s="5" t="s">
        <v>1606</v>
      </c>
      <c r="C7" s="5" t="s">
        <v>119</v>
      </c>
      <c r="D7" s="5" t="s">
        <v>34</v>
      </c>
      <c r="E7" s="5" t="s">
        <v>123</v>
      </c>
      <c r="F7" s="2" t="s">
        <v>344</v>
      </c>
      <c r="G7" s="5" t="s">
        <v>345</v>
      </c>
      <c r="H7" s="5" t="s">
        <v>265</v>
      </c>
      <c r="I7" s="5" t="s">
        <v>346</v>
      </c>
      <c r="J7" s="5" t="s">
        <v>1607</v>
      </c>
      <c r="K7" s="5" t="s">
        <v>1608</v>
      </c>
      <c r="L7" s="5" t="s">
        <v>131</v>
      </c>
    </row>
    <row r="8" customFormat="false" ht="39.55" hidden="false" customHeight="false" outlineLevel="0" collapsed="false">
      <c r="A8" s="8" t="s">
        <v>1609</v>
      </c>
      <c r="B8" s="9" t="s">
        <v>1610</v>
      </c>
      <c r="C8" s="9" t="s">
        <v>317</v>
      </c>
      <c r="D8" s="9" t="s">
        <v>557</v>
      </c>
      <c r="E8" s="9" t="s">
        <v>558</v>
      </c>
      <c r="F8" s="8" t="s">
        <v>559</v>
      </c>
      <c r="G8" s="9" t="s">
        <v>155</v>
      </c>
      <c r="H8" s="9" t="s">
        <v>190</v>
      </c>
      <c r="I8" s="9" t="s">
        <v>488</v>
      </c>
      <c r="J8" s="9"/>
      <c r="K8" s="9" t="s">
        <v>325</v>
      </c>
      <c r="L8" s="9" t="s">
        <v>142</v>
      </c>
    </row>
    <row r="9" customFormat="false" ht="39.55" hidden="false" customHeight="false" outlineLevel="0" collapsed="false">
      <c r="A9" s="2" t="s">
        <v>1611</v>
      </c>
      <c r="B9" s="5" t="s">
        <v>1612</v>
      </c>
      <c r="C9" s="5" t="s">
        <v>317</v>
      </c>
      <c r="D9" s="5" t="s">
        <v>557</v>
      </c>
      <c r="E9" s="5" t="s">
        <v>558</v>
      </c>
      <c r="F9" s="2" t="s">
        <v>559</v>
      </c>
      <c r="G9" s="5" t="s">
        <v>1428</v>
      </c>
      <c r="H9" s="5" t="s">
        <v>265</v>
      </c>
      <c r="I9" s="5" t="s">
        <v>488</v>
      </c>
      <c r="J9" s="5"/>
      <c r="K9" s="5" t="s">
        <v>325</v>
      </c>
      <c r="L9" s="5" t="s">
        <v>142</v>
      </c>
    </row>
    <row r="10" customFormat="false" ht="39.55" hidden="false" customHeight="false" outlineLevel="0" collapsed="false">
      <c r="A10" s="8" t="s">
        <v>1613</v>
      </c>
      <c r="B10" s="9" t="s">
        <v>1614</v>
      </c>
      <c r="C10" s="9" t="s">
        <v>177</v>
      </c>
      <c r="D10" s="9" t="s">
        <v>418</v>
      </c>
      <c r="E10" s="9" t="s">
        <v>413</v>
      </c>
      <c r="F10" s="8" t="s">
        <v>420</v>
      </c>
      <c r="G10" s="9" t="s">
        <v>155</v>
      </c>
      <c r="H10" s="9" t="s">
        <v>190</v>
      </c>
      <c r="I10" s="9" t="s">
        <v>488</v>
      </c>
      <c r="J10" s="9"/>
      <c r="K10" s="9" t="s">
        <v>187</v>
      </c>
      <c r="L10" s="9" t="s">
        <v>142</v>
      </c>
    </row>
    <row r="11" customFormat="false" ht="26.85" hidden="false" customHeight="false" outlineLevel="0" collapsed="false">
      <c r="A11" s="2" t="s">
        <v>1615</v>
      </c>
      <c r="B11" s="5" t="s">
        <v>1616</v>
      </c>
      <c r="C11" s="5" t="s">
        <v>132</v>
      </c>
      <c r="D11" s="5" t="s">
        <v>424</v>
      </c>
      <c r="E11" s="5" t="s">
        <v>425</v>
      </c>
      <c r="F11" s="2" t="s">
        <v>426</v>
      </c>
      <c r="G11" s="5" t="s">
        <v>427</v>
      </c>
      <c r="H11" s="5" t="s">
        <v>428</v>
      </c>
      <c r="I11" s="5" t="s">
        <v>346</v>
      </c>
      <c r="J11" s="5"/>
      <c r="K11" s="5" t="s">
        <v>429</v>
      </c>
      <c r="L11" s="5" t="s">
        <v>142</v>
      </c>
    </row>
  </sheetData>
  <autoFilter ref="A1:L1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sheetData>
  <autoFilter ref="A1:L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18"/>
    <col collapsed="false" customWidth="true" hidden="false" outlineLevel="0" max="6" min="6" style="0" width="46"/>
    <col collapsed="false" customWidth="true" hidden="false" outlineLevel="0" max="7" min="7" style="0" width="28"/>
    <col collapsed="false" customWidth="true" hidden="false" outlineLevel="0" max="9" min="8" style="0" width="14"/>
    <col collapsed="false" customWidth="true" hidden="false" outlineLevel="0" max="10" min="10" style="0" width="28"/>
    <col collapsed="false" customWidth="true" hidden="false" outlineLevel="0" max="11" min="11" style="0" width="40"/>
    <col collapsed="false" customWidth="true" hidden="false" outlineLevel="0" max="12" min="12" style="0" width="12"/>
  </cols>
  <sheetData>
    <row r="1" customFormat="false" ht="26.85" hidden="false" customHeight="false" outlineLevel="0" collapsed="false">
      <c r="A1" s="4" t="s">
        <v>336</v>
      </c>
      <c r="B1" s="4" t="s">
        <v>337</v>
      </c>
      <c r="C1" s="4" t="s">
        <v>338</v>
      </c>
      <c r="D1" s="4" t="s">
        <v>339</v>
      </c>
      <c r="E1" s="4" t="s">
        <v>14</v>
      </c>
      <c r="F1" s="4" t="s">
        <v>340</v>
      </c>
      <c r="G1" s="4" t="s">
        <v>109</v>
      </c>
      <c r="H1" s="4" t="s">
        <v>16</v>
      </c>
      <c r="I1" s="4" t="s">
        <v>18</v>
      </c>
      <c r="J1" s="4" t="s">
        <v>341</v>
      </c>
      <c r="K1" s="4" t="s">
        <v>118</v>
      </c>
      <c r="L1" s="4" t="s">
        <v>20</v>
      </c>
    </row>
    <row r="2" customFormat="false" ht="26.85" hidden="false" customHeight="false" outlineLevel="0" collapsed="false">
      <c r="A2" s="8" t="s">
        <v>483</v>
      </c>
      <c r="B2" s="9" t="s">
        <v>484</v>
      </c>
      <c r="C2" s="9" t="s">
        <v>153</v>
      </c>
      <c r="D2" s="9" t="s">
        <v>485</v>
      </c>
      <c r="E2" s="9" t="s">
        <v>486</v>
      </c>
      <c r="F2" s="8" t="s">
        <v>487</v>
      </c>
      <c r="G2" s="9" t="s">
        <v>190</v>
      </c>
      <c r="H2" s="9" t="s">
        <v>190</v>
      </c>
      <c r="I2" s="9" t="s">
        <v>488</v>
      </c>
      <c r="J2" s="9"/>
      <c r="K2" s="9" t="s">
        <v>164</v>
      </c>
      <c r="L2" s="9" t="s">
        <v>131</v>
      </c>
    </row>
    <row r="3" customFormat="false" ht="26.85" hidden="false" customHeight="false" outlineLevel="0" collapsed="false">
      <c r="A3" s="8" t="s">
        <v>489</v>
      </c>
      <c r="B3" s="9" t="s">
        <v>490</v>
      </c>
      <c r="C3" s="9" t="s">
        <v>153</v>
      </c>
      <c r="D3" s="9" t="s">
        <v>485</v>
      </c>
      <c r="E3" s="9" t="s">
        <v>486</v>
      </c>
      <c r="F3" s="8" t="s">
        <v>487</v>
      </c>
      <c r="G3" s="9" t="s">
        <v>190</v>
      </c>
      <c r="H3" s="9" t="s">
        <v>190</v>
      </c>
      <c r="I3" s="9" t="s">
        <v>488</v>
      </c>
      <c r="J3" s="9"/>
      <c r="K3" s="9" t="s">
        <v>164</v>
      </c>
      <c r="L3" s="9" t="s">
        <v>131</v>
      </c>
    </row>
    <row r="4" customFormat="false" ht="39.55" hidden="false" customHeight="false" outlineLevel="0" collapsed="false">
      <c r="A4" s="8" t="s">
        <v>555</v>
      </c>
      <c r="B4" s="9" t="s">
        <v>556</v>
      </c>
      <c r="C4" s="9" t="s">
        <v>317</v>
      </c>
      <c r="D4" s="9" t="s">
        <v>557</v>
      </c>
      <c r="E4" s="9" t="s">
        <v>558</v>
      </c>
      <c r="F4" s="8" t="s">
        <v>559</v>
      </c>
      <c r="G4" s="9" t="s">
        <v>155</v>
      </c>
      <c r="H4" s="9" t="s">
        <v>190</v>
      </c>
      <c r="I4" s="9" t="s">
        <v>488</v>
      </c>
      <c r="J4" s="9"/>
      <c r="K4" s="9" t="s">
        <v>325</v>
      </c>
      <c r="L4" s="9" t="s">
        <v>142</v>
      </c>
    </row>
    <row r="5" customFormat="false" ht="39.55" hidden="false" customHeight="false" outlineLevel="0" collapsed="false">
      <c r="A5" s="8" t="s">
        <v>560</v>
      </c>
      <c r="B5" s="9" t="s">
        <v>561</v>
      </c>
      <c r="C5" s="9" t="s">
        <v>317</v>
      </c>
      <c r="D5" s="9" t="s">
        <v>557</v>
      </c>
      <c r="E5" s="9" t="s">
        <v>558</v>
      </c>
      <c r="F5" s="8" t="s">
        <v>559</v>
      </c>
      <c r="G5" s="9" t="s">
        <v>155</v>
      </c>
      <c r="H5" s="9" t="s">
        <v>190</v>
      </c>
      <c r="I5" s="9" t="s">
        <v>488</v>
      </c>
      <c r="J5" s="9"/>
      <c r="K5" s="9" t="s">
        <v>325</v>
      </c>
      <c r="L5" s="9" t="s">
        <v>142</v>
      </c>
    </row>
    <row r="6" customFormat="false" ht="39.55" hidden="false" customHeight="false" outlineLevel="0" collapsed="false">
      <c r="A6" s="8" t="s">
        <v>562</v>
      </c>
      <c r="B6" s="9" t="s">
        <v>563</v>
      </c>
      <c r="C6" s="9" t="s">
        <v>317</v>
      </c>
      <c r="D6" s="9" t="s">
        <v>557</v>
      </c>
      <c r="E6" s="9" t="s">
        <v>558</v>
      </c>
      <c r="F6" s="8" t="s">
        <v>559</v>
      </c>
      <c r="G6" s="9" t="s">
        <v>564</v>
      </c>
      <c r="H6" s="9" t="s">
        <v>190</v>
      </c>
      <c r="I6" s="9" t="s">
        <v>488</v>
      </c>
      <c r="J6" s="9"/>
      <c r="K6" s="9" t="s">
        <v>325</v>
      </c>
      <c r="L6" s="9" t="s">
        <v>142</v>
      </c>
    </row>
    <row r="7" customFormat="false" ht="26.85" hidden="false" customHeight="false" outlineLevel="0" collapsed="false">
      <c r="A7" s="8" t="s">
        <v>626</v>
      </c>
      <c r="B7" s="9" t="s">
        <v>627</v>
      </c>
      <c r="C7" s="9" t="s">
        <v>255</v>
      </c>
      <c r="D7" s="9" t="s">
        <v>628</v>
      </c>
      <c r="E7" s="9" t="s">
        <v>413</v>
      </c>
      <c r="F7" s="8" t="s">
        <v>629</v>
      </c>
      <c r="G7" s="9" t="s">
        <v>190</v>
      </c>
      <c r="H7" s="9" t="s">
        <v>190</v>
      </c>
      <c r="I7" s="9" t="s">
        <v>488</v>
      </c>
      <c r="J7" s="9"/>
      <c r="K7" s="9" t="s">
        <v>263</v>
      </c>
      <c r="L7" s="9" t="s">
        <v>142</v>
      </c>
    </row>
    <row r="8" customFormat="false" ht="26.85" hidden="false" customHeight="false" outlineLevel="0" collapsed="false">
      <c r="A8" s="8" t="s">
        <v>630</v>
      </c>
      <c r="B8" s="9" t="s">
        <v>631</v>
      </c>
      <c r="C8" s="9" t="s">
        <v>255</v>
      </c>
      <c r="D8" s="9" t="s">
        <v>628</v>
      </c>
      <c r="E8" s="9" t="s">
        <v>413</v>
      </c>
      <c r="F8" s="8" t="s">
        <v>629</v>
      </c>
      <c r="G8" s="9" t="s">
        <v>190</v>
      </c>
      <c r="H8" s="9" t="s">
        <v>190</v>
      </c>
      <c r="I8" s="9" t="s">
        <v>488</v>
      </c>
      <c r="J8" s="9"/>
      <c r="K8" s="9" t="s">
        <v>632</v>
      </c>
      <c r="L8" s="9" t="s">
        <v>142</v>
      </c>
    </row>
    <row r="9" customFormat="false" ht="39.55" hidden="false" customHeight="false" outlineLevel="0" collapsed="false">
      <c r="A9" s="8" t="s">
        <v>633</v>
      </c>
      <c r="B9" s="9" t="s">
        <v>634</v>
      </c>
      <c r="C9" s="9" t="s">
        <v>317</v>
      </c>
      <c r="D9" s="9" t="s">
        <v>557</v>
      </c>
      <c r="E9" s="9" t="s">
        <v>558</v>
      </c>
      <c r="F9" s="8" t="s">
        <v>559</v>
      </c>
      <c r="G9" s="9" t="s">
        <v>155</v>
      </c>
      <c r="H9" s="9" t="s">
        <v>190</v>
      </c>
      <c r="I9" s="9" t="s">
        <v>488</v>
      </c>
      <c r="J9" s="9"/>
      <c r="K9" s="9" t="s">
        <v>325</v>
      </c>
      <c r="L9" s="9" t="s">
        <v>142</v>
      </c>
    </row>
    <row r="10" customFormat="false" ht="39.55" hidden="false" customHeight="false" outlineLevel="0" collapsed="false">
      <c r="A10" s="8" t="s">
        <v>635</v>
      </c>
      <c r="B10" s="9" t="s">
        <v>636</v>
      </c>
      <c r="C10" s="9" t="s">
        <v>317</v>
      </c>
      <c r="D10" s="9" t="s">
        <v>557</v>
      </c>
      <c r="E10" s="9" t="s">
        <v>558</v>
      </c>
      <c r="F10" s="8" t="s">
        <v>559</v>
      </c>
      <c r="G10" s="9" t="s">
        <v>637</v>
      </c>
      <c r="H10" s="9" t="s">
        <v>190</v>
      </c>
      <c r="I10" s="9" t="s">
        <v>488</v>
      </c>
      <c r="J10" s="9"/>
      <c r="K10" s="9" t="s">
        <v>325</v>
      </c>
      <c r="L10" s="9" t="s">
        <v>142</v>
      </c>
    </row>
    <row r="11" customFormat="false" ht="39.55" hidden="false" customHeight="false" outlineLevel="0" collapsed="false">
      <c r="A11" s="8" t="s">
        <v>638</v>
      </c>
      <c r="B11" s="9" t="s">
        <v>639</v>
      </c>
      <c r="C11" s="9" t="s">
        <v>177</v>
      </c>
      <c r="D11" s="9" t="s">
        <v>418</v>
      </c>
      <c r="E11" s="9" t="s">
        <v>640</v>
      </c>
      <c r="F11" s="8" t="s">
        <v>420</v>
      </c>
      <c r="G11" s="9" t="s">
        <v>155</v>
      </c>
      <c r="H11" s="9" t="s">
        <v>190</v>
      </c>
      <c r="I11" s="9" t="s">
        <v>488</v>
      </c>
      <c r="J11" s="9"/>
      <c r="K11" s="9" t="s">
        <v>187</v>
      </c>
      <c r="L11" s="9" t="s">
        <v>142</v>
      </c>
    </row>
    <row r="12" customFormat="false" ht="39.55" hidden="false" customHeight="false" outlineLevel="0" collapsed="false">
      <c r="A12" s="8" t="s">
        <v>641</v>
      </c>
      <c r="B12" s="9" t="s">
        <v>642</v>
      </c>
      <c r="C12" s="9" t="s">
        <v>177</v>
      </c>
      <c r="D12" s="9" t="s">
        <v>418</v>
      </c>
      <c r="E12" s="9" t="s">
        <v>643</v>
      </c>
      <c r="F12" s="8" t="s">
        <v>420</v>
      </c>
      <c r="G12" s="9" t="s">
        <v>155</v>
      </c>
      <c r="H12" s="9" t="s">
        <v>190</v>
      </c>
      <c r="I12" s="9" t="s">
        <v>488</v>
      </c>
      <c r="J12" s="9"/>
      <c r="K12" s="9" t="s">
        <v>187</v>
      </c>
      <c r="L12" s="9" t="s">
        <v>142</v>
      </c>
    </row>
    <row r="13" customFormat="false" ht="15" hidden="false" customHeight="false" outlineLevel="0" collapsed="false">
      <c r="A13" s="8" t="s">
        <v>644</v>
      </c>
      <c r="B13" s="9" t="s">
        <v>645</v>
      </c>
      <c r="C13" s="9" t="s">
        <v>246</v>
      </c>
      <c r="D13" s="9" t="s">
        <v>646</v>
      </c>
      <c r="E13" s="9" t="s">
        <v>248</v>
      </c>
      <c r="F13" s="8" t="s">
        <v>647</v>
      </c>
      <c r="G13" s="9" t="s">
        <v>648</v>
      </c>
      <c r="H13" s="9" t="s">
        <v>190</v>
      </c>
      <c r="I13" s="9" t="s">
        <v>488</v>
      </c>
      <c r="J13" s="9"/>
      <c r="K13" s="9" t="s">
        <v>254</v>
      </c>
      <c r="L13" s="9" t="s">
        <v>142</v>
      </c>
    </row>
    <row r="14" customFormat="false" ht="15" hidden="false" customHeight="false" outlineLevel="0" collapsed="false">
      <c r="A14" s="8" t="s">
        <v>649</v>
      </c>
      <c r="B14" s="9" t="s">
        <v>650</v>
      </c>
      <c r="C14" s="9" t="s">
        <v>246</v>
      </c>
      <c r="D14" s="9" t="s">
        <v>646</v>
      </c>
      <c r="E14" s="9" t="s">
        <v>248</v>
      </c>
      <c r="F14" s="8" t="s">
        <v>647</v>
      </c>
      <c r="G14" s="9" t="s">
        <v>648</v>
      </c>
      <c r="H14" s="9" t="s">
        <v>190</v>
      </c>
      <c r="I14" s="9" t="s">
        <v>488</v>
      </c>
      <c r="J14" s="9"/>
      <c r="K14" s="9" t="s">
        <v>254</v>
      </c>
      <c r="L14" s="9" t="s">
        <v>142</v>
      </c>
    </row>
    <row r="15" customFormat="false" ht="26.85" hidden="false" customHeight="false" outlineLevel="0" collapsed="false">
      <c r="A15" s="8" t="s">
        <v>651</v>
      </c>
      <c r="B15" s="9" t="s">
        <v>652</v>
      </c>
      <c r="C15" s="9" t="s">
        <v>246</v>
      </c>
      <c r="D15" s="9" t="s">
        <v>646</v>
      </c>
      <c r="E15" s="9" t="s">
        <v>248</v>
      </c>
      <c r="F15" s="8" t="s">
        <v>647</v>
      </c>
      <c r="G15" s="9" t="s">
        <v>648</v>
      </c>
      <c r="H15" s="9" t="s">
        <v>190</v>
      </c>
      <c r="I15" s="9" t="s">
        <v>488</v>
      </c>
      <c r="J15" s="9"/>
      <c r="K15" s="9" t="s">
        <v>254</v>
      </c>
      <c r="L15" s="9" t="s">
        <v>142</v>
      </c>
    </row>
    <row r="16" customFormat="false" ht="26.85" hidden="false" customHeight="false" outlineLevel="0" collapsed="false">
      <c r="A16" s="8" t="s">
        <v>693</v>
      </c>
      <c r="B16" s="9" t="s">
        <v>694</v>
      </c>
      <c r="C16" s="9" t="s">
        <v>119</v>
      </c>
      <c r="D16" s="9" t="s">
        <v>30</v>
      </c>
      <c r="E16" s="9" t="s">
        <v>123</v>
      </c>
      <c r="F16" s="8" t="s">
        <v>344</v>
      </c>
      <c r="G16" s="9" t="s">
        <v>695</v>
      </c>
      <c r="H16" s="9" t="s">
        <v>190</v>
      </c>
      <c r="I16" s="9" t="s">
        <v>488</v>
      </c>
      <c r="J16" s="9" t="s">
        <v>696</v>
      </c>
      <c r="K16" s="9" t="s">
        <v>697</v>
      </c>
      <c r="L16" s="9" t="s">
        <v>131</v>
      </c>
    </row>
    <row r="17" customFormat="false" ht="39.55" hidden="false" customHeight="false" outlineLevel="0" collapsed="false">
      <c r="A17" s="8" t="s">
        <v>824</v>
      </c>
      <c r="B17" s="9" t="s">
        <v>825</v>
      </c>
      <c r="C17" s="9" t="s">
        <v>177</v>
      </c>
      <c r="D17" s="9" t="s">
        <v>418</v>
      </c>
      <c r="E17" s="9" t="s">
        <v>413</v>
      </c>
      <c r="F17" s="8" t="s">
        <v>420</v>
      </c>
      <c r="G17" s="9" t="s">
        <v>155</v>
      </c>
      <c r="H17" s="9" t="s">
        <v>190</v>
      </c>
      <c r="I17" s="9" t="s">
        <v>488</v>
      </c>
      <c r="J17" s="9"/>
      <c r="K17" s="9" t="s">
        <v>187</v>
      </c>
      <c r="L17" s="9" t="s">
        <v>142</v>
      </c>
    </row>
    <row r="18" customFormat="false" ht="39.55" hidden="false" customHeight="false" outlineLevel="0" collapsed="false">
      <c r="A18" s="8" t="s">
        <v>866</v>
      </c>
      <c r="B18" s="9" t="s">
        <v>867</v>
      </c>
      <c r="C18" s="9" t="s">
        <v>317</v>
      </c>
      <c r="D18" s="9" t="s">
        <v>557</v>
      </c>
      <c r="E18" s="9" t="s">
        <v>558</v>
      </c>
      <c r="F18" s="8" t="s">
        <v>559</v>
      </c>
      <c r="G18" s="9" t="s">
        <v>564</v>
      </c>
      <c r="H18" s="9" t="s">
        <v>190</v>
      </c>
      <c r="I18" s="9" t="s">
        <v>488</v>
      </c>
      <c r="J18" s="9"/>
      <c r="K18" s="9" t="s">
        <v>325</v>
      </c>
      <c r="L18" s="9" t="s">
        <v>142</v>
      </c>
    </row>
    <row r="19" customFormat="false" ht="15" hidden="false" customHeight="false" outlineLevel="0" collapsed="false">
      <c r="A19" s="8" t="s">
        <v>921</v>
      </c>
      <c r="B19" s="9" t="s">
        <v>922</v>
      </c>
      <c r="C19" s="9" t="s">
        <v>246</v>
      </c>
      <c r="D19" s="9" t="s">
        <v>646</v>
      </c>
      <c r="E19" s="9" t="s">
        <v>248</v>
      </c>
      <c r="F19" s="8" t="s">
        <v>647</v>
      </c>
      <c r="G19" s="9" t="s">
        <v>648</v>
      </c>
      <c r="H19" s="9" t="s">
        <v>190</v>
      </c>
      <c r="I19" s="9" t="s">
        <v>488</v>
      </c>
      <c r="J19" s="9"/>
      <c r="K19" s="9" t="s">
        <v>254</v>
      </c>
      <c r="L19" s="9" t="s">
        <v>142</v>
      </c>
    </row>
    <row r="20" customFormat="false" ht="26.85" hidden="false" customHeight="false" outlineLevel="0" collapsed="false">
      <c r="A20" s="8" t="s">
        <v>943</v>
      </c>
      <c r="B20" s="9" t="s">
        <v>944</v>
      </c>
      <c r="C20" s="9" t="s">
        <v>119</v>
      </c>
      <c r="D20" s="9" t="s">
        <v>32</v>
      </c>
      <c r="E20" s="9" t="s">
        <v>123</v>
      </c>
      <c r="F20" s="8" t="s">
        <v>344</v>
      </c>
      <c r="G20" s="9" t="s">
        <v>695</v>
      </c>
      <c r="H20" s="9" t="s">
        <v>190</v>
      </c>
      <c r="I20" s="9" t="s">
        <v>488</v>
      </c>
      <c r="J20" s="9" t="s">
        <v>945</v>
      </c>
      <c r="K20" s="9" t="s">
        <v>946</v>
      </c>
      <c r="L20" s="9" t="s">
        <v>131</v>
      </c>
    </row>
    <row r="21" customFormat="false" ht="26.85" hidden="false" customHeight="false" outlineLevel="0" collapsed="false">
      <c r="A21" s="8" t="s">
        <v>963</v>
      </c>
      <c r="B21" s="9" t="s">
        <v>964</v>
      </c>
      <c r="C21" s="9" t="s">
        <v>119</v>
      </c>
      <c r="D21" s="9" t="s">
        <v>31</v>
      </c>
      <c r="E21" s="9" t="s">
        <v>123</v>
      </c>
      <c r="F21" s="8" t="s">
        <v>344</v>
      </c>
      <c r="G21" s="9" t="s">
        <v>695</v>
      </c>
      <c r="H21" s="9" t="s">
        <v>190</v>
      </c>
      <c r="I21" s="9" t="s">
        <v>488</v>
      </c>
      <c r="J21" s="9" t="s">
        <v>965</v>
      </c>
      <c r="K21" s="9" t="s">
        <v>966</v>
      </c>
      <c r="L21" s="9" t="s">
        <v>131</v>
      </c>
    </row>
    <row r="22" customFormat="false" ht="39.55" hidden="false" customHeight="false" outlineLevel="0" collapsed="false">
      <c r="A22" s="8" t="s">
        <v>985</v>
      </c>
      <c r="B22" s="9" t="s">
        <v>986</v>
      </c>
      <c r="C22" s="9" t="s">
        <v>317</v>
      </c>
      <c r="D22" s="9" t="s">
        <v>557</v>
      </c>
      <c r="E22" s="9" t="s">
        <v>558</v>
      </c>
      <c r="F22" s="8" t="s">
        <v>559</v>
      </c>
      <c r="G22" s="9" t="s">
        <v>155</v>
      </c>
      <c r="H22" s="9" t="s">
        <v>190</v>
      </c>
      <c r="I22" s="9" t="s">
        <v>488</v>
      </c>
      <c r="J22" s="9"/>
      <c r="K22" s="9" t="s">
        <v>325</v>
      </c>
      <c r="L22" s="9" t="s">
        <v>142</v>
      </c>
    </row>
    <row r="23" customFormat="false" ht="39.55" hidden="false" customHeight="false" outlineLevel="0" collapsed="false">
      <c r="A23" s="8" t="s">
        <v>987</v>
      </c>
      <c r="B23" s="9" t="s">
        <v>988</v>
      </c>
      <c r="C23" s="9" t="s">
        <v>317</v>
      </c>
      <c r="D23" s="9" t="s">
        <v>557</v>
      </c>
      <c r="E23" s="9" t="s">
        <v>558</v>
      </c>
      <c r="F23" s="8" t="s">
        <v>559</v>
      </c>
      <c r="G23" s="9" t="s">
        <v>200</v>
      </c>
      <c r="H23" s="9" t="s">
        <v>190</v>
      </c>
      <c r="I23" s="9" t="s">
        <v>488</v>
      </c>
      <c r="J23" s="9"/>
      <c r="K23" s="9" t="s">
        <v>325</v>
      </c>
      <c r="L23" s="9" t="s">
        <v>142</v>
      </c>
    </row>
    <row r="24" customFormat="false" ht="26.85" hidden="false" customHeight="false" outlineLevel="0" collapsed="false">
      <c r="A24" s="8" t="s">
        <v>992</v>
      </c>
      <c r="B24" s="9" t="s">
        <v>993</v>
      </c>
      <c r="C24" s="9" t="s">
        <v>246</v>
      </c>
      <c r="D24" s="9" t="s">
        <v>646</v>
      </c>
      <c r="E24" s="9" t="s">
        <v>248</v>
      </c>
      <c r="F24" s="8" t="s">
        <v>647</v>
      </c>
      <c r="G24" s="9" t="s">
        <v>648</v>
      </c>
      <c r="H24" s="9" t="s">
        <v>190</v>
      </c>
      <c r="I24" s="9" t="s">
        <v>488</v>
      </c>
      <c r="J24" s="9"/>
      <c r="K24" s="9" t="s">
        <v>254</v>
      </c>
      <c r="L24" s="9" t="s">
        <v>142</v>
      </c>
    </row>
    <row r="25" customFormat="false" ht="15" hidden="false" customHeight="false" outlineLevel="0" collapsed="false">
      <c r="A25" s="8" t="s">
        <v>994</v>
      </c>
      <c r="B25" s="9" t="s">
        <v>995</v>
      </c>
      <c r="C25" s="9" t="s">
        <v>246</v>
      </c>
      <c r="D25" s="9" t="s">
        <v>646</v>
      </c>
      <c r="E25" s="9" t="s">
        <v>248</v>
      </c>
      <c r="F25" s="8" t="s">
        <v>647</v>
      </c>
      <c r="G25" s="9" t="s">
        <v>648</v>
      </c>
      <c r="H25" s="9" t="s">
        <v>190</v>
      </c>
      <c r="I25" s="9" t="s">
        <v>488</v>
      </c>
      <c r="J25" s="9"/>
      <c r="K25" s="9" t="s">
        <v>254</v>
      </c>
      <c r="L25" s="9" t="s">
        <v>142</v>
      </c>
    </row>
    <row r="26" customFormat="false" ht="39.55" hidden="false" customHeight="false" outlineLevel="0" collapsed="false">
      <c r="A26" s="8" t="s">
        <v>1052</v>
      </c>
      <c r="B26" s="9" t="s">
        <v>1053</v>
      </c>
      <c r="C26" s="9" t="s">
        <v>317</v>
      </c>
      <c r="D26" s="9" t="s">
        <v>557</v>
      </c>
      <c r="E26" s="9" t="s">
        <v>558</v>
      </c>
      <c r="F26" s="8" t="s">
        <v>559</v>
      </c>
      <c r="G26" s="9" t="s">
        <v>155</v>
      </c>
      <c r="H26" s="9" t="s">
        <v>190</v>
      </c>
      <c r="I26" s="9" t="s">
        <v>488</v>
      </c>
      <c r="J26" s="9"/>
      <c r="K26" s="9" t="s">
        <v>325</v>
      </c>
      <c r="L26" s="9" t="s">
        <v>142</v>
      </c>
    </row>
    <row r="27" customFormat="false" ht="39.55" hidden="false" customHeight="false" outlineLevel="0" collapsed="false">
      <c r="A27" s="8" t="s">
        <v>1054</v>
      </c>
      <c r="B27" s="9" t="s">
        <v>1055</v>
      </c>
      <c r="C27" s="9" t="s">
        <v>317</v>
      </c>
      <c r="D27" s="9" t="s">
        <v>557</v>
      </c>
      <c r="E27" s="9" t="s">
        <v>558</v>
      </c>
      <c r="F27" s="8" t="s">
        <v>559</v>
      </c>
      <c r="G27" s="9" t="s">
        <v>155</v>
      </c>
      <c r="H27" s="9" t="s">
        <v>190</v>
      </c>
      <c r="I27" s="9" t="s">
        <v>488</v>
      </c>
      <c r="J27" s="9"/>
      <c r="K27" s="9" t="s">
        <v>325</v>
      </c>
      <c r="L27" s="9" t="s">
        <v>142</v>
      </c>
    </row>
    <row r="28" customFormat="false" ht="26.85" hidden="false" customHeight="false" outlineLevel="0" collapsed="false">
      <c r="A28" s="8" t="s">
        <v>1084</v>
      </c>
      <c r="B28" s="9" t="s">
        <v>1085</v>
      </c>
      <c r="C28" s="9" t="s">
        <v>119</v>
      </c>
      <c r="D28" s="9" t="s">
        <v>33</v>
      </c>
      <c r="E28" s="9" t="s">
        <v>123</v>
      </c>
      <c r="F28" s="8" t="s">
        <v>344</v>
      </c>
      <c r="G28" s="9" t="s">
        <v>695</v>
      </c>
      <c r="H28" s="9" t="s">
        <v>190</v>
      </c>
      <c r="I28" s="9" t="s">
        <v>488</v>
      </c>
      <c r="J28" s="9" t="s">
        <v>1086</v>
      </c>
      <c r="K28" s="9" t="s">
        <v>1087</v>
      </c>
      <c r="L28" s="9" t="s">
        <v>131</v>
      </c>
    </row>
    <row r="29" customFormat="false" ht="26.85" hidden="false" customHeight="false" outlineLevel="0" collapsed="false">
      <c r="A29" s="8" t="s">
        <v>1110</v>
      </c>
      <c r="B29" s="9" t="s">
        <v>1111</v>
      </c>
      <c r="C29" s="9" t="s">
        <v>119</v>
      </c>
      <c r="D29" s="9" t="s">
        <v>34</v>
      </c>
      <c r="E29" s="9" t="s">
        <v>123</v>
      </c>
      <c r="F29" s="8" t="s">
        <v>344</v>
      </c>
      <c r="G29" s="9" t="s">
        <v>695</v>
      </c>
      <c r="H29" s="9" t="s">
        <v>190</v>
      </c>
      <c r="I29" s="9" t="s">
        <v>488</v>
      </c>
      <c r="J29" s="9" t="s">
        <v>1112</v>
      </c>
      <c r="K29" s="9" t="s">
        <v>1113</v>
      </c>
      <c r="L29" s="9" t="s">
        <v>131</v>
      </c>
    </row>
    <row r="30" customFormat="false" ht="26.85" hidden="false" customHeight="false" outlineLevel="0" collapsed="false">
      <c r="A30" s="8" t="s">
        <v>1127</v>
      </c>
      <c r="B30" s="9" t="s">
        <v>1128</v>
      </c>
      <c r="C30" s="9" t="s">
        <v>119</v>
      </c>
      <c r="D30" s="9" t="s">
        <v>30</v>
      </c>
      <c r="E30" s="9" t="s">
        <v>123</v>
      </c>
      <c r="F30" s="8" t="s">
        <v>344</v>
      </c>
      <c r="G30" s="9" t="s">
        <v>695</v>
      </c>
      <c r="H30" s="9" t="s">
        <v>190</v>
      </c>
      <c r="I30" s="9" t="s">
        <v>488</v>
      </c>
      <c r="J30" s="9" t="s">
        <v>1129</v>
      </c>
      <c r="K30" s="9" t="s">
        <v>1130</v>
      </c>
      <c r="L30" s="9" t="s">
        <v>131</v>
      </c>
    </row>
    <row r="31" customFormat="false" ht="39.55" hidden="false" customHeight="false" outlineLevel="0" collapsed="false">
      <c r="A31" s="8" t="s">
        <v>1135</v>
      </c>
      <c r="B31" s="9" t="s">
        <v>1136</v>
      </c>
      <c r="C31" s="9" t="s">
        <v>317</v>
      </c>
      <c r="D31" s="9" t="s">
        <v>557</v>
      </c>
      <c r="E31" s="9" t="s">
        <v>558</v>
      </c>
      <c r="F31" s="8" t="s">
        <v>559</v>
      </c>
      <c r="G31" s="9" t="s">
        <v>155</v>
      </c>
      <c r="H31" s="9" t="s">
        <v>190</v>
      </c>
      <c r="I31" s="9" t="s">
        <v>488</v>
      </c>
      <c r="J31" s="9"/>
      <c r="K31" s="9" t="s">
        <v>325</v>
      </c>
      <c r="L31" s="9" t="s">
        <v>142</v>
      </c>
    </row>
    <row r="32" customFormat="false" ht="26.85" hidden="false" customHeight="false" outlineLevel="0" collapsed="false">
      <c r="A32" s="8" t="s">
        <v>1160</v>
      </c>
      <c r="B32" s="9" t="s">
        <v>1161</v>
      </c>
      <c r="C32" s="9" t="s">
        <v>119</v>
      </c>
      <c r="D32" s="9" t="s">
        <v>30</v>
      </c>
      <c r="E32" s="9" t="s">
        <v>123</v>
      </c>
      <c r="F32" s="8" t="s">
        <v>344</v>
      </c>
      <c r="G32" s="9" t="s">
        <v>695</v>
      </c>
      <c r="H32" s="9" t="s">
        <v>190</v>
      </c>
      <c r="I32" s="9" t="s">
        <v>488</v>
      </c>
      <c r="J32" s="9" t="s">
        <v>1162</v>
      </c>
      <c r="K32" s="9" t="s">
        <v>1163</v>
      </c>
      <c r="L32" s="9" t="s">
        <v>131</v>
      </c>
    </row>
    <row r="33" customFormat="false" ht="26.85" hidden="false" customHeight="false" outlineLevel="0" collapsed="false">
      <c r="A33" s="8" t="s">
        <v>1190</v>
      </c>
      <c r="B33" s="9" t="s">
        <v>1191</v>
      </c>
      <c r="C33" s="9" t="s">
        <v>153</v>
      </c>
      <c r="D33" s="9" t="s">
        <v>485</v>
      </c>
      <c r="E33" s="9" t="s">
        <v>486</v>
      </c>
      <c r="F33" s="8" t="s">
        <v>487</v>
      </c>
      <c r="G33" s="9" t="s">
        <v>190</v>
      </c>
      <c r="H33" s="9" t="s">
        <v>190</v>
      </c>
      <c r="I33" s="9" t="s">
        <v>488</v>
      </c>
      <c r="J33" s="9"/>
      <c r="K33" s="9" t="s">
        <v>164</v>
      </c>
      <c r="L33" s="9" t="s">
        <v>131</v>
      </c>
    </row>
    <row r="34" customFormat="false" ht="26.85" hidden="false" customHeight="false" outlineLevel="0" collapsed="false">
      <c r="A34" s="8" t="s">
        <v>1192</v>
      </c>
      <c r="B34" s="9" t="s">
        <v>1193</v>
      </c>
      <c r="C34" s="9" t="s">
        <v>153</v>
      </c>
      <c r="D34" s="9" t="s">
        <v>485</v>
      </c>
      <c r="E34" s="9" t="s">
        <v>486</v>
      </c>
      <c r="F34" s="8" t="s">
        <v>487</v>
      </c>
      <c r="G34" s="9" t="s">
        <v>190</v>
      </c>
      <c r="H34" s="9" t="s">
        <v>190</v>
      </c>
      <c r="I34" s="9" t="s">
        <v>488</v>
      </c>
      <c r="J34" s="9"/>
      <c r="K34" s="9" t="s">
        <v>164</v>
      </c>
      <c r="L34" s="9" t="s">
        <v>131</v>
      </c>
    </row>
    <row r="35" customFormat="false" ht="26.85" hidden="false" customHeight="false" outlineLevel="0" collapsed="false">
      <c r="A35" s="8" t="s">
        <v>1286</v>
      </c>
      <c r="B35" s="9" t="s">
        <v>1287</v>
      </c>
      <c r="C35" s="9" t="s">
        <v>153</v>
      </c>
      <c r="D35" s="9" t="s">
        <v>485</v>
      </c>
      <c r="E35" s="9" t="s">
        <v>486</v>
      </c>
      <c r="F35" s="8" t="s">
        <v>487</v>
      </c>
      <c r="G35" s="9" t="s">
        <v>190</v>
      </c>
      <c r="H35" s="9" t="s">
        <v>190</v>
      </c>
      <c r="I35" s="9" t="s">
        <v>488</v>
      </c>
      <c r="J35" s="9"/>
      <c r="K35" s="9" t="s">
        <v>164</v>
      </c>
      <c r="L35" s="9" t="s">
        <v>131</v>
      </c>
    </row>
    <row r="36" customFormat="false" ht="26.85" hidden="false" customHeight="false" outlineLevel="0" collapsed="false">
      <c r="A36" s="8" t="s">
        <v>1288</v>
      </c>
      <c r="B36" s="9" t="s">
        <v>1289</v>
      </c>
      <c r="C36" s="9" t="s">
        <v>153</v>
      </c>
      <c r="D36" s="9" t="s">
        <v>485</v>
      </c>
      <c r="E36" s="9" t="s">
        <v>486</v>
      </c>
      <c r="F36" s="8" t="s">
        <v>487</v>
      </c>
      <c r="G36" s="9" t="s">
        <v>190</v>
      </c>
      <c r="H36" s="9" t="s">
        <v>190</v>
      </c>
      <c r="I36" s="9" t="s">
        <v>488</v>
      </c>
      <c r="J36" s="9"/>
      <c r="K36" s="9" t="s">
        <v>164</v>
      </c>
      <c r="L36" s="9" t="s">
        <v>131</v>
      </c>
    </row>
    <row r="37" customFormat="false" ht="26.85" hidden="false" customHeight="false" outlineLevel="0" collapsed="false">
      <c r="A37" s="8" t="s">
        <v>1290</v>
      </c>
      <c r="B37" s="9" t="s">
        <v>1291</v>
      </c>
      <c r="C37" s="9" t="s">
        <v>153</v>
      </c>
      <c r="D37" s="9" t="s">
        <v>485</v>
      </c>
      <c r="E37" s="9" t="s">
        <v>486</v>
      </c>
      <c r="F37" s="8" t="s">
        <v>487</v>
      </c>
      <c r="G37" s="9" t="s">
        <v>190</v>
      </c>
      <c r="H37" s="9" t="s">
        <v>190</v>
      </c>
      <c r="I37" s="9" t="s">
        <v>488</v>
      </c>
      <c r="J37" s="9"/>
      <c r="K37" s="9" t="s">
        <v>164</v>
      </c>
      <c r="L37" s="9" t="s">
        <v>131</v>
      </c>
    </row>
    <row r="38" customFormat="false" ht="26.85" hidden="false" customHeight="false" outlineLevel="0" collapsed="false">
      <c r="A38" s="8" t="s">
        <v>1294</v>
      </c>
      <c r="B38" s="9" t="s">
        <v>1295</v>
      </c>
      <c r="C38" s="9" t="s">
        <v>255</v>
      </c>
      <c r="D38" s="9" t="s">
        <v>628</v>
      </c>
      <c r="E38" s="9" t="s">
        <v>413</v>
      </c>
      <c r="F38" s="8" t="s">
        <v>629</v>
      </c>
      <c r="G38" s="9" t="s">
        <v>190</v>
      </c>
      <c r="H38" s="9" t="s">
        <v>190</v>
      </c>
      <c r="I38" s="9" t="s">
        <v>488</v>
      </c>
      <c r="J38" s="9"/>
      <c r="K38" s="9" t="s">
        <v>1296</v>
      </c>
      <c r="L38" s="9" t="s">
        <v>142</v>
      </c>
    </row>
    <row r="39" customFormat="false" ht="39.55" hidden="false" customHeight="false" outlineLevel="0" collapsed="false">
      <c r="A39" s="8" t="s">
        <v>1297</v>
      </c>
      <c r="B39" s="9" t="s">
        <v>1298</v>
      </c>
      <c r="C39" s="9" t="s">
        <v>177</v>
      </c>
      <c r="D39" s="9" t="s">
        <v>418</v>
      </c>
      <c r="E39" s="9" t="s">
        <v>1299</v>
      </c>
      <c r="F39" s="8" t="s">
        <v>420</v>
      </c>
      <c r="G39" s="9" t="s">
        <v>155</v>
      </c>
      <c r="H39" s="9" t="s">
        <v>190</v>
      </c>
      <c r="I39" s="9" t="s">
        <v>488</v>
      </c>
      <c r="J39" s="9"/>
      <c r="K39" s="9" t="s">
        <v>187</v>
      </c>
      <c r="L39" s="9" t="s">
        <v>142</v>
      </c>
    </row>
    <row r="40" customFormat="false" ht="26.85" hidden="false" customHeight="false" outlineLevel="0" collapsed="false">
      <c r="A40" s="8" t="s">
        <v>1348</v>
      </c>
      <c r="B40" s="9" t="s">
        <v>1349</v>
      </c>
      <c r="C40" s="9" t="s">
        <v>119</v>
      </c>
      <c r="D40" s="9" t="s">
        <v>33</v>
      </c>
      <c r="E40" s="9" t="s">
        <v>123</v>
      </c>
      <c r="F40" s="8" t="s">
        <v>344</v>
      </c>
      <c r="G40" s="9" t="s">
        <v>1350</v>
      </c>
      <c r="H40" s="9" t="s">
        <v>190</v>
      </c>
      <c r="I40" s="9" t="s">
        <v>488</v>
      </c>
      <c r="J40" s="9" t="s">
        <v>1351</v>
      </c>
      <c r="K40" s="9" t="s">
        <v>1352</v>
      </c>
      <c r="L40" s="9" t="s">
        <v>131</v>
      </c>
    </row>
    <row r="41" customFormat="false" ht="26.85" hidden="false" customHeight="false" outlineLevel="0" collapsed="false">
      <c r="A41" s="8" t="s">
        <v>1355</v>
      </c>
      <c r="B41" s="9" t="s">
        <v>1356</v>
      </c>
      <c r="C41" s="9" t="s">
        <v>153</v>
      </c>
      <c r="D41" s="9" t="s">
        <v>485</v>
      </c>
      <c r="E41" s="9" t="s">
        <v>486</v>
      </c>
      <c r="F41" s="8" t="s">
        <v>487</v>
      </c>
      <c r="G41" s="9" t="s">
        <v>190</v>
      </c>
      <c r="H41" s="9" t="s">
        <v>190</v>
      </c>
      <c r="I41" s="9" t="s">
        <v>488</v>
      </c>
      <c r="J41" s="9"/>
      <c r="K41" s="9" t="s">
        <v>164</v>
      </c>
      <c r="L41" s="9" t="s">
        <v>131</v>
      </c>
    </row>
    <row r="42" customFormat="false" ht="39.55" hidden="false" customHeight="false" outlineLevel="0" collapsed="false">
      <c r="A42" s="8" t="s">
        <v>1363</v>
      </c>
      <c r="B42" s="9" t="s">
        <v>1364</v>
      </c>
      <c r="C42" s="9" t="s">
        <v>317</v>
      </c>
      <c r="D42" s="9" t="s">
        <v>557</v>
      </c>
      <c r="E42" s="9" t="s">
        <v>558</v>
      </c>
      <c r="F42" s="8" t="s">
        <v>559</v>
      </c>
      <c r="G42" s="9" t="s">
        <v>1365</v>
      </c>
      <c r="H42" s="9" t="s">
        <v>190</v>
      </c>
      <c r="I42" s="9" t="s">
        <v>488</v>
      </c>
      <c r="J42" s="9"/>
      <c r="K42" s="9" t="s">
        <v>325</v>
      </c>
      <c r="L42" s="9" t="s">
        <v>142</v>
      </c>
    </row>
    <row r="43" customFormat="false" ht="39.55" hidden="false" customHeight="false" outlineLevel="0" collapsed="false">
      <c r="A43" s="8" t="s">
        <v>1366</v>
      </c>
      <c r="B43" s="9" t="s">
        <v>1367</v>
      </c>
      <c r="C43" s="9" t="s">
        <v>317</v>
      </c>
      <c r="D43" s="9" t="s">
        <v>557</v>
      </c>
      <c r="E43" s="9" t="s">
        <v>558</v>
      </c>
      <c r="F43" s="8" t="s">
        <v>559</v>
      </c>
      <c r="G43" s="9" t="s">
        <v>564</v>
      </c>
      <c r="H43" s="9" t="s">
        <v>190</v>
      </c>
      <c r="I43" s="9" t="s">
        <v>488</v>
      </c>
      <c r="J43" s="9"/>
      <c r="K43" s="9" t="s">
        <v>325</v>
      </c>
      <c r="L43" s="9" t="s">
        <v>142</v>
      </c>
    </row>
    <row r="44" customFormat="false" ht="39.55" hidden="false" customHeight="false" outlineLevel="0" collapsed="false">
      <c r="A44" s="8" t="s">
        <v>1368</v>
      </c>
      <c r="B44" s="9" t="s">
        <v>1369</v>
      </c>
      <c r="C44" s="9" t="s">
        <v>317</v>
      </c>
      <c r="D44" s="9" t="s">
        <v>557</v>
      </c>
      <c r="E44" s="9" t="s">
        <v>558</v>
      </c>
      <c r="F44" s="8" t="s">
        <v>559</v>
      </c>
      <c r="G44" s="9" t="s">
        <v>1370</v>
      </c>
      <c r="H44" s="9" t="s">
        <v>190</v>
      </c>
      <c r="I44" s="9" t="s">
        <v>488</v>
      </c>
      <c r="J44" s="9"/>
      <c r="K44" s="9" t="s">
        <v>325</v>
      </c>
      <c r="L44" s="9" t="s">
        <v>142</v>
      </c>
    </row>
    <row r="45" customFormat="false" ht="39.55" hidden="false" customHeight="false" outlineLevel="0" collapsed="false">
      <c r="A45" s="8" t="s">
        <v>1371</v>
      </c>
      <c r="B45" s="9" t="s">
        <v>1372</v>
      </c>
      <c r="C45" s="9" t="s">
        <v>317</v>
      </c>
      <c r="D45" s="9" t="s">
        <v>557</v>
      </c>
      <c r="E45" s="9" t="s">
        <v>558</v>
      </c>
      <c r="F45" s="8" t="s">
        <v>559</v>
      </c>
      <c r="G45" s="9" t="s">
        <v>564</v>
      </c>
      <c r="H45" s="9" t="s">
        <v>190</v>
      </c>
      <c r="I45" s="9" t="s">
        <v>488</v>
      </c>
      <c r="J45" s="9"/>
      <c r="K45" s="9" t="s">
        <v>325</v>
      </c>
      <c r="L45" s="9" t="s">
        <v>142</v>
      </c>
    </row>
    <row r="46" customFormat="false" ht="26.85" hidden="false" customHeight="false" outlineLevel="0" collapsed="false">
      <c r="A46" s="8" t="s">
        <v>1373</v>
      </c>
      <c r="B46" s="9" t="s">
        <v>1374</v>
      </c>
      <c r="C46" s="9" t="s">
        <v>246</v>
      </c>
      <c r="D46" s="9" t="s">
        <v>646</v>
      </c>
      <c r="E46" s="9" t="s">
        <v>248</v>
      </c>
      <c r="F46" s="8" t="s">
        <v>647</v>
      </c>
      <c r="G46" s="9" t="s">
        <v>648</v>
      </c>
      <c r="H46" s="9" t="s">
        <v>190</v>
      </c>
      <c r="I46" s="9" t="s">
        <v>488</v>
      </c>
      <c r="J46" s="9"/>
      <c r="K46" s="9" t="s">
        <v>254</v>
      </c>
      <c r="L46" s="9" t="s">
        <v>142</v>
      </c>
    </row>
    <row r="47" customFormat="false" ht="26.85" hidden="false" customHeight="false" outlineLevel="0" collapsed="false">
      <c r="A47" s="8" t="s">
        <v>1423</v>
      </c>
      <c r="B47" s="9" t="s">
        <v>1424</v>
      </c>
      <c r="C47" s="9" t="s">
        <v>153</v>
      </c>
      <c r="D47" s="9" t="s">
        <v>485</v>
      </c>
      <c r="E47" s="9" t="s">
        <v>486</v>
      </c>
      <c r="F47" s="8" t="s">
        <v>487</v>
      </c>
      <c r="G47" s="9" t="s">
        <v>190</v>
      </c>
      <c r="H47" s="9" t="s">
        <v>190</v>
      </c>
      <c r="I47" s="9" t="s">
        <v>488</v>
      </c>
      <c r="J47" s="9"/>
      <c r="K47" s="9" t="s">
        <v>164</v>
      </c>
      <c r="L47" s="9" t="s">
        <v>131</v>
      </c>
    </row>
    <row r="48" customFormat="false" ht="39.55" hidden="false" customHeight="false" outlineLevel="0" collapsed="false">
      <c r="A48" s="8" t="s">
        <v>1429</v>
      </c>
      <c r="B48" s="9" t="s">
        <v>1430</v>
      </c>
      <c r="C48" s="9" t="s">
        <v>177</v>
      </c>
      <c r="D48" s="9" t="s">
        <v>418</v>
      </c>
      <c r="E48" s="9" t="s">
        <v>1010</v>
      </c>
      <c r="F48" s="8" t="s">
        <v>420</v>
      </c>
      <c r="G48" s="9" t="s">
        <v>564</v>
      </c>
      <c r="H48" s="9" t="s">
        <v>190</v>
      </c>
      <c r="I48" s="9" t="s">
        <v>488</v>
      </c>
      <c r="J48" s="9"/>
      <c r="K48" s="9" t="s">
        <v>187</v>
      </c>
      <c r="L48" s="9" t="s">
        <v>142</v>
      </c>
    </row>
    <row r="49" customFormat="false" ht="26.85" hidden="false" customHeight="false" outlineLevel="0" collapsed="false">
      <c r="A49" s="8" t="s">
        <v>1523</v>
      </c>
      <c r="B49" s="9" t="s">
        <v>1524</v>
      </c>
      <c r="C49" s="9" t="s">
        <v>153</v>
      </c>
      <c r="D49" s="9" t="s">
        <v>485</v>
      </c>
      <c r="E49" s="9" t="s">
        <v>486</v>
      </c>
      <c r="F49" s="8" t="s">
        <v>487</v>
      </c>
      <c r="G49" s="9" t="s">
        <v>190</v>
      </c>
      <c r="H49" s="9" t="s">
        <v>190</v>
      </c>
      <c r="I49" s="9" t="s">
        <v>488</v>
      </c>
      <c r="J49" s="9"/>
      <c r="K49" s="9" t="s">
        <v>164</v>
      </c>
      <c r="L49" s="9" t="s">
        <v>131</v>
      </c>
    </row>
    <row r="50" customFormat="false" ht="26.85" hidden="false" customHeight="false" outlineLevel="0" collapsed="false">
      <c r="A50" s="8" t="s">
        <v>1525</v>
      </c>
      <c r="B50" s="9" t="s">
        <v>1526</v>
      </c>
      <c r="C50" s="9" t="s">
        <v>153</v>
      </c>
      <c r="D50" s="9" t="s">
        <v>485</v>
      </c>
      <c r="E50" s="9" t="s">
        <v>486</v>
      </c>
      <c r="F50" s="8" t="s">
        <v>487</v>
      </c>
      <c r="G50" s="9" t="s">
        <v>190</v>
      </c>
      <c r="H50" s="9" t="s">
        <v>190</v>
      </c>
      <c r="I50" s="9" t="s">
        <v>488</v>
      </c>
      <c r="J50" s="9"/>
      <c r="K50" s="9" t="s">
        <v>164</v>
      </c>
      <c r="L50" s="9" t="s">
        <v>131</v>
      </c>
    </row>
    <row r="51" customFormat="false" ht="39.55" hidden="false" customHeight="false" outlineLevel="0" collapsed="false">
      <c r="A51" s="8" t="s">
        <v>1531</v>
      </c>
      <c r="B51" s="9" t="s">
        <v>1532</v>
      </c>
      <c r="C51" s="9" t="s">
        <v>177</v>
      </c>
      <c r="D51" s="9" t="s">
        <v>418</v>
      </c>
      <c r="E51" s="9" t="s">
        <v>1533</v>
      </c>
      <c r="F51" s="8" t="s">
        <v>420</v>
      </c>
      <c r="G51" s="9" t="s">
        <v>1534</v>
      </c>
      <c r="H51" s="9" t="s">
        <v>190</v>
      </c>
      <c r="I51" s="9" t="s">
        <v>488</v>
      </c>
      <c r="J51" s="9"/>
      <c r="K51" s="9" t="s">
        <v>187</v>
      </c>
      <c r="L51" s="9" t="s">
        <v>142</v>
      </c>
    </row>
    <row r="52" customFormat="false" ht="26.85" hidden="false" customHeight="false" outlineLevel="0" collapsed="false">
      <c r="A52" s="8" t="s">
        <v>1585</v>
      </c>
      <c r="B52" s="9" t="s">
        <v>1586</v>
      </c>
      <c r="C52" s="9" t="s">
        <v>119</v>
      </c>
      <c r="D52" s="9" t="s">
        <v>31</v>
      </c>
      <c r="E52" s="9" t="s">
        <v>123</v>
      </c>
      <c r="F52" s="8" t="s">
        <v>344</v>
      </c>
      <c r="G52" s="9" t="s">
        <v>695</v>
      </c>
      <c r="H52" s="9" t="s">
        <v>190</v>
      </c>
      <c r="I52" s="9" t="s">
        <v>488</v>
      </c>
      <c r="J52" s="9" t="s">
        <v>1587</v>
      </c>
      <c r="K52" s="9" t="s">
        <v>1588</v>
      </c>
      <c r="L52" s="9" t="s">
        <v>131</v>
      </c>
    </row>
    <row r="53" customFormat="false" ht="39.55" hidden="false" customHeight="false" outlineLevel="0" collapsed="false">
      <c r="A53" s="8" t="s">
        <v>1609</v>
      </c>
      <c r="B53" s="9" t="s">
        <v>1610</v>
      </c>
      <c r="C53" s="9" t="s">
        <v>317</v>
      </c>
      <c r="D53" s="9" t="s">
        <v>557</v>
      </c>
      <c r="E53" s="9" t="s">
        <v>558</v>
      </c>
      <c r="F53" s="8" t="s">
        <v>559</v>
      </c>
      <c r="G53" s="9" t="s">
        <v>155</v>
      </c>
      <c r="H53" s="9" t="s">
        <v>190</v>
      </c>
      <c r="I53" s="9" t="s">
        <v>488</v>
      </c>
      <c r="J53" s="9"/>
      <c r="K53" s="9" t="s">
        <v>325</v>
      </c>
      <c r="L53" s="9" t="s">
        <v>142</v>
      </c>
    </row>
    <row r="54" customFormat="false" ht="39.55" hidden="false" customHeight="false" outlineLevel="0" collapsed="false">
      <c r="A54" s="8" t="s">
        <v>1613</v>
      </c>
      <c r="B54" s="9" t="s">
        <v>1614</v>
      </c>
      <c r="C54" s="9" t="s">
        <v>177</v>
      </c>
      <c r="D54" s="9" t="s">
        <v>418</v>
      </c>
      <c r="E54" s="9" t="s">
        <v>413</v>
      </c>
      <c r="F54" s="8" t="s">
        <v>420</v>
      </c>
      <c r="G54" s="9" t="s">
        <v>155</v>
      </c>
      <c r="H54" s="9" t="s">
        <v>190</v>
      </c>
      <c r="I54" s="9" t="s">
        <v>488</v>
      </c>
      <c r="J54" s="9"/>
      <c r="K54" s="9" t="s">
        <v>187</v>
      </c>
      <c r="L54" s="9" t="s">
        <v>142</v>
      </c>
    </row>
  </sheetData>
  <autoFilter ref="A1:L54"/>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17187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60"/>
    <col collapsed="false" customWidth="true" hidden="false" outlineLevel="0" max="4" min="4" style="0" width="80"/>
    <col collapsed="false" customWidth="true" hidden="false" outlineLevel="0" max="6" min="5" style="0" width="14"/>
    <col collapsed="false" customWidth="true" hidden="false" outlineLevel="0" max="7" min="7" style="0" width="28"/>
    <col collapsed="false" customWidth="true" hidden="false" outlineLevel="0" max="8" min="8" style="0" width="10"/>
    <col collapsed="false" customWidth="true" hidden="false" outlineLevel="0" max="9" min="9" style="0" width="34"/>
    <col collapsed="false" customWidth="true" hidden="false" outlineLevel="0" max="10" min="10" style="0" width="30"/>
    <col collapsed="false" customWidth="true" hidden="false" outlineLevel="0" max="11" min="11" style="0" width="44"/>
  </cols>
  <sheetData>
    <row r="1" customFormat="false" ht="26.85" hidden="false" customHeight="false" outlineLevel="0" collapsed="false">
      <c r="A1" s="4" t="s">
        <v>1617</v>
      </c>
      <c r="B1" s="4" t="s">
        <v>337</v>
      </c>
      <c r="C1" s="4" t="s">
        <v>1618</v>
      </c>
      <c r="D1" s="4" t="s">
        <v>1619</v>
      </c>
      <c r="E1" s="4" t="s">
        <v>1620</v>
      </c>
      <c r="F1" s="4" t="s">
        <v>16</v>
      </c>
      <c r="G1" s="4" t="s">
        <v>1621</v>
      </c>
      <c r="H1" s="4" t="s">
        <v>1622</v>
      </c>
      <c r="I1" s="4" t="s">
        <v>1623</v>
      </c>
      <c r="J1" s="4" t="s">
        <v>341</v>
      </c>
      <c r="K1" s="4" t="s">
        <v>1624</v>
      </c>
    </row>
    <row r="2" customFormat="false" ht="15" hidden="false" customHeight="false" outlineLevel="0" collapsed="false">
      <c r="A2" s="5" t="s">
        <v>101</v>
      </c>
      <c r="B2" s="5" t="s">
        <v>1625</v>
      </c>
      <c r="C2" s="5" t="s">
        <v>1626</v>
      </c>
      <c r="D2" s="5" t="s">
        <v>1627</v>
      </c>
      <c r="E2" s="5" t="s">
        <v>1628</v>
      </c>
      <c r="F2" s="5" t="s">
        <v>265</v>
      </c>
      <c r="G2" s="5" t="s">
        <v>775</v>
      </c>
      <c r="H2" s="5" t="n">
        <v>10</v>
      </c>
      <c r="I2" s="5" t="s">
        <v>1629</v>
      </c>
      <c r="J2" s="5" t="s">
        <v>1630</v>
      </c>
      <c r="K2" s="5" t="s">
        <v>1631</v>
      </c>
    </row>
    <row r="3" customFormat="false" ht="15" hidden="false" customHeight="false" outlineLevel="0" collapsed="false">
      <c r="A3" s="5" t="s">
        <v>95</v>
      </c>
      <c r="B3" s="5" t="s">
        <v>1632</v>
      </c>
      <c r="C3" s="5" t="s">
        <v>1633</v>
      </c>
      <c r="D3" s="5" t="s">
        <v>1634</v>
      </c>
      <c r="E3" s="5" t="s">
        <v>1628</v>
      </c>
      <c r="F3" s="5" t="s">
        <v>265</v>
      </c>
      <c r="G3" s="5" t="s">
        <v>345</v>
      </c>
      <c r="H3" s="5" t="n">
        <v>5</v>
      </c>
      <c r="I3" s="5" t="s">
        <v>1635</v>
      </c>
      <c r="J3" s="5" t="s">
        <v>1636</v>
      </c>
      <c r="K3" s="5" t="s">
        <v>1637</v>
      </c>
    </row>
    <row r="4" customFormat="false" ht="15" hidden="false" customHeight="false" outlineLevel="0" collapsed="false">
      <c r="A4" s="5" t="s">
        <v>46</v>
      </c>
      <c r="B4" s="5" t="s">
        <v>506</v>
      </c>
      <c r="C4" s="5" t="s">
        <v>1638</v>
      </c>
      <c r="D4" s="5" t="s">
        <v>1639</v>
      </c>
      <c r="E4" s="5" t="s">
        <v>1628</v>
      </c>
      <c r="F4" s="5" t="s">
        <v>265</v>
      </c>
      <c r="G4" s="5" t="s">
        <v>345</v>
      </c>
      <c r="H4" s="5" t="n">
        <v>2</v>
      </c>
      <c r="I4" s="5" t="s">
        <v>1640</v>
      </c>
      <c r="J4" s="5" t="s">
        <v>507</v>
      </c>
      <c r="K4" s="5" t="s">
        <v>508</v>
      </c>
    </row>
    <row r="5" customFormat="false" ht="15" hidden="false" customHeight="false" outlineLevel="0" collapsed="false">
      <c r="A5" s="5" t="s">
        <v>95</v>
      </c>
      <c r="B5" s="5" t="s">
        <v>1487</v>
      </c>
      <c r="C5" s="5" t="s">
        <v>1641</v>
      </c>
      <c r="D5" s="5" t="s">
        <v>1642</v>
      </c>
      <c r="E5" s="5" t="s">
        <v>1628</v>
      </c>
      <c r="F5" s="5" t="s">
        <v>265</v>
      </c>
      <c r="G5" s="5" t="s">
        <v>345</v>
      </c>
      <c r="H5" s="5" t="n">
        <v>2</v>
      </c>
      <c r="I5" s="5" t="s">
        <v>1635</v>
      </c>
      <c r="J5" s="5" t="s">
        <v>1488</v>
      </c>
      <c r="K5" s="5" t="s">
        <v>1489</v>
      </c>
    </row>
    <row r="6" customFormat="false" ht="15" hidden="false" customHeight="false" outlineLevel="0" collapsed="false">
      <c r="A6" s="5" t="s">
        <v>86</v>
      </c>
      <c r="B6" s="5" t="s">
        <v>1643</v>
      </c>
      <c r="C6" s="5" t="s">
        <v>1644</v>
      </c>
      <c r="D6" s="5" t="s">
        <v>1645</v>
      </c>
      <c r="E6" s="5" t="s">
        <v>1628</v>
      </c>
      <c r="F6" s="5" t="s">
        <v>265</v>
      </c>
      <c r="G6" s="5" t="s">
        <v>1646</v>
      </c>
      <c r="H6" s="5" t="n">
        <v>6</v>
      </c>
      <c r="I6" s="5" t="s">
        <v>1647</v>
      </c>
      <c r="J6" s="5" t="s">
        <v>1648</v>
      </c>
      <c r="K6" s="5" t="s">
        <v>1649</v>
      </c>
    </row>
    <row r="7" customFormat="false" ht="15" hidden="false" customHeight="false" outlineLevel="0" collapsed="false">
      <c r="A7" s="5" t="s">
        <v>47</v>
      </c>
      <c r="B7" s="5" t="s">
        <v>574</v>
      </c>
      <c r="C7" s="5" t="s">
        <v>1650</v>
      </c>
      <c r="D7" s="5" t="s">
        <v>1651</v>
      </c>
      <c r="E7" s="5" t="s">
        <v>1628</v>
      </c>
      <c r="F7" s="5" t="s">
        <v>265</v>
      </c>
      <c r="G7" s="5" t="s">
        <v>436</v>
      </c>
      <c r="H7" s="5" t="n">
        <v>12</v>
      </c>
      <c r="I7" s="5" t="s">
        <v>1652</v>
      </c>
      <c r="J7" s="5" t="s">
        <v>575</v>
      </c>
      <c r="K7" s="5" t="s">
        <v>576</v>
      </c>
    </row>
    <row r="8" customFormat="false" ht="15" hidden="false" customHeight="false" outlineLevel="0" collapsed="false">
      <c r="A8" s="5" t="s">
        <v>69</v>
      </c>
      <c r="B8" s="5" t="s">
        <v>1653</v>
      </c>
      <c r="C8" s="5" t="s">
        <v>1654</v>
      </c>
      <c r="D8" s="5" t="s">
        <v>1655</v>
      </c>
      <c r="E8" s="5" t="s">
        <v>1628</v>
      </c>
      <c r="F8" s="5" t="s">
        <v>265</v>
      </c>
      <c r="G8" s="5" t="s">
        <v>436</v>
      </c>
      <c r="H8" s="5" t="n">
        <v>2</v>
      </c>
      <c r="I8" s="5" t="s">
        <v>1656</v>
      </c>
      <c r="J8" s="5" t="s">
        <v>1657</v>
      </c>
      <c r="K8" s="5" t="s">
        <v>1658</v>
      </c>
    </row>
    <row r="9" customFormat="false" ht="15" hidden="false" customHeight="false" outlineLevel="0" collapsed="false">
      <c r="A9" s="5" t="s">
        <v>92</v>
      </c>
      <c r="B9" s="5" t="s">
        <v>1451</v>
      </c>
      <c r="C9" s="5" t="s">
        <v>1659</v>
      </c>
      <c r="D9" s="5" t="s">
        <v>1660</v>
      </c>
      <c r="E9" s="5" t="s">
        <v>1628</v>
      </c>
      <c r="F9" s="5" t="s">
        <v>265</v>
      </c>
      <c r="G9" s="5" t="s">
        <v>345</v>
      </c>
      <c r="H9" s="5" t="n">
        <v>6</v>
      </c>
      <c r="I9" s="5" t="s">
        <v>1635</v>
      </c>
      <c r="J9" s="5" t="s">
        <v>1452</v>
      </c>
      <c r="K9" s="5" t="s">
        <v>1453</v>
      </c>
    </row>
    <row r="10" customFormat="false" ht="15" hidden="false" customHeight="false" outlineLevel="0" collapsed="false">
      <c r="A10" s="5" t="s">
        <v>66</v>
      </c>
      <c r="B10" s="5" t="s">
        <v>1661</v>
      </c>
      <c r="C10" s="5" t="s">
        <v>1662</v>
      </c>
      <c r="D10" s="5" t="s">
        <v>1663</v>
      </c>
      <c r="E10" s="5" t="s">
        <v>1628</v>
      </c>
      <c r="F10" s="5" t="s">
        <v>265</v>
      </c>
      <c r="G10" s="5" t="s">
        <v>345</v>
      </c>
      <c r="H10" s="5" t="n">
        <v>5</v>
      </c>
      <c r="I10" s="5" t="s">
        <v>1664</v>
      </c>
      <c r="J10" s="5" t="s">
        <v>1665</v>
      </c>
      <c r="K10" s="5" t="s">
        <v>1666</v>
      </c>
    </row>
    <row r="11" customFormat="false" ht="15" hidden="false" customHeight="false" outlineLevel="0" collapsed="false">
      <c r="A11" s="5" t="s">
        <v>92</v>
      </c>
      <c r="B11" s="5" t="s">
        <v>1667</v>
      </c>
      <c r="C11" s="5" t="s">
        <v>1668</v>
      </c>
      <c r="D11" s="5" t="s">
        <v>1669</v>
      </c>
      <c r="E11" s="5" t="s">
        <v>1628</v>
      </c>
      <c r="F11" s="5" t="s">
        <v>265</v>
      </c>
      <c r="G11" s="5" t="s">
        <v>345</v>
      </c>
      <c r="H11" s="5" t="n">
        <v>4</v>
      </c>
      <c r="I11" s="5" t="s">
        <v>1670</v>
      </c>
      <c r="J11" s="5" t="s">
        <v>1671</v>
      </c>
      <c r="K11" s="5" t="s">
        <v>1672</v>
      </c>
    </row>
    <row r="12" customFormat="false" ht="15" hidden="false" customHeight="false" outlineLevel="0" collapsed="false">
      <c r="A12" s="5" t="s">
        <v>98</v>
      </c>
      <c r="B12" s="5" t="s">
        <v>1550</v>
      </c>
      <c r="C12" s="5" t="s">
        <v>1673</v>
      </c>
      <c r="D12" s="5" t="s">
        <v>1674</v>
      </c>
      <c r="E12" s="5" t="s">
        <v>1628</v>
      </c>
      <c r="F12" s="5" t="s">
        <v>265</v>
      </c>
      <c r="G12" s="5" t="s">
        <v>345</v>
      </c>
      <c r="H12" s="5" t="n">
        <v>8</v>
      </c>
      <c r="I12" s="5" t="s">
        <v>1635</v>
      </c>
      <c r="J12" s="5" t="s">
        <v>1551</v>
      </c>
      <c r="K12" s="5" t="s">
        <v>1552</v>
      </c>
    </row>
    <row r="13" customFormat="false" ht="15" hidden="false" customHeight="false" outlineLevel="0" collapsed="false">
      <c r="A13" s="5" t="s">
        <v>101</v>
      </c>
      <c r="B13" s="5" t="s">
        <v>1675</v>
      </c>
      <c r="C13" s="5" t="s">
        <v>1676</v>
      </c>
      <c r="D13" s="5" t="s">
        <v>1677</v>
      </c>
      <c r="E13" s="5" t="s">
        <v>1628</v>
      </c>
      <c r="F13" s="5" t="s">
        <v>265</v>
      </c>
      <c r="G13" s="5" t="s">
        <v>436</v>
      </c>
      <c r="H13" s="5" t="n">
        <v>3</v>
      </c>
      <c r="I13" s="5" t="s">
        <v>1664</v>
      </c>
      <c r="J13" s="5" t="s">
        <v>1678</v>
      </c>
      <c r="K13" s="5" t="s">
        <v>1679</v>
      </c>
    </row>
    <row r="14" customFormat="false" ht="15" hidden="false" customHeight="false" outlineLevel="0" collapsed="false">
      <c r="A14" s="5" t="s">
        <v>69</v>
      </c>
      <c r="B14" s="5" t="s">
        <v>1680</v>
      </c>
      <c r="C14" s="5" t="s">
        <v>1681</v>
      </c>
      <c r="D14" s="5" t="s">
        <v>1682</v>
      </c>
      <c r="E14" s="5" t="s">
        <v>1628</v>
      </c>
      <c r="F14" s="5" t="s">
        <v>265</v>
      </c>
      <c r="G14" s="5" t="s">
        <v>382</v>
      </c>
      <c r="H14" s="5" t="n">
        <v>6</v>
      </c>
      <c r="I14" s="5" t="s">
        <v>1664</v>
      </c>
      <c r="J14" s="5" t="s">
        <v>1683</v>
      </c>
      <c r="K14" s="5" t="s">
        <v>1684</v>
      </c>
    </row>
    <row r="15" customFormat="false" ht="15" hidden="false" customHeight="false" outlineLevel="0" collapsed="false">
      <c r="A15" s="5" t="s">
        <v>40</v>
      </c>
      <c r="B15" s="5" t="s">
        <v>1685</v>
      </c>
      <c r="C15" s="5" t="s">
        <v>1686</v>
      </c>
      <c r="D15" s="5" t="s">
        <v>1687</v>
      </c>
      <c r="E15" s="5" t="s">
        <v>1628</v>
      </c>
      <c r="F15" s="5" t="s">
        <v>265</v>
      </c>
      <c r="G15" s="5" t="s">
        <v>345</v>
      </c>
      <c r="H15" s="5" t="n">
        <v>4</v>
      </c>
      <c r="I15" s="5" t="s">
        <v>1688</v>
      </c>
      <c r="J15" s="5" t="s">
        <v>1689</v>
      </c>
      <c r="K15" s="5" t="s">
        <v>1690</v>
      </c>
    </row>
    <row r="16" customFormat="false" ht="15" hidden="false" customHeight="false" outlineLevel="0" collapsed="false">
      <c r="A16" s="5" t="s">
        <v>89</v>
      </c>
      <c r="B16" s="5" t="s">
        <v>1691</v>
      </c>
      <c r="C16" s="5" t="s">
        <v>1692</v>
      </c>
      <c r="D16" s="5" t="s">
        <v>1693</v>
      </c>
      <c r="E16" s="5" t="s">
        <v>1628</v>
      </c>
      <c r="F16" s="5" t="s">
        <v>265</v>
      </c>
      <c r="G16" s="5" t="s">
        <v>436</v>
      </c>
      <c r="H16" s="5" t="n">
        <v>8</v>
      </c>
      <c r="I16" s="5" t="s">
        <v>1694</v>
      </c>
      <c r="J16" s="5" t="s">
        <v>1695</v>
      </c>
      <c r="K16" s="5" t="s">
        <v>1696</v>
      </c>
    </row>
    <row r="17" customFormat="false" ht="15" hidden="false" customHeight="false" outlineLevel="0" collapsed="false">
      <c r="A17" s="5" t="s">
        <v>86</v>
      </c>
      <c r="B17" s="5" t="s">
        <v>1697</v>
      </c>
      <c r="C17" s="5" t="s">
        <v>1698</v>
      </c>
      <c r="D17" s="5" t="s">
        <v>1699</v>
      </c>
      <c r="E17" s="5" t="s">
        <v>1628</v>
      </c>
      <c r="F17" s="5" t="s">
        <v>265</v>
      </c>
      <c r="G17" s="5" t="s">
        <v>345</v>
      </c>
      <c r="H17" s="5" t="n">
        <v>1</v>
      </c>
      <c r="I17" s="5" t="s">
        <v>1647</v>
      </c>
      <c r="J17" s="5" t="s">
        <v>1700</v>
      </c>
      <c r="K17" s="5" t="s">
        <v>1701</v>
      </c>
    </row>
    <row r="18" customFormat="false" ht="15" hidden="false" customHeight="false" outlineLevel="0" collapsed="false">
      <c r="A18" s="5" t="s">
        <v>54</v>
      </c>
      <c r="B18" s="5" t="s">
        <v>1702</v>
      </c>
      <c r="C18" s="5" t="s">
        <v>1703</v>
      </c>
      <c r="D18" s="5" t="s">
        <v>1704</v>
      </c>
      <c r="E18" s="5" t="s">
        <v>1628</v>
      </c>
      <c r="F18" s="5" t="s">
        <v>265</v>
      </c>
      <c r="G18" s="5" t="s">
        <v>345</v>
      </c>
      <c r="H18" s="5" t="n">
        <v>2</v>
      </c>
      <c r="I18" s="5" t="s">
        <v>1629</v>
      </c>
      <c r="J18" s="5" t="s">
        <v>1705</v>
      </c>
      <c r="K18" s="5" t="s">
        <v>1706</v>
      </c>
    </row>
    <row r="19" customFormat="false" ht="15" hidden="false" customHeight="false" outlineLevel="0" collapsed="false">
      <c r="A19" s="9" t="s">
        <v>76</v>
      </c>
      <c r="B19" s="9" t="s">
        <v>1161</v>
      </c>
      <c r="C19" s="9" t="s">
        <v>1707</v>
      </c>
      <c r="D19" s="9" t="s">
        <v>1708</v>
      </c>
      <c r="E19" s="9" t="s">
        <v>1628</v>
      </c>
      <c r="F19" s="9" t="s">
        <v>190</v>
      </c>
      <c r="G19" s="9" t="s">
        <v>695</v>
      </c>
      <c r="H19" s="9" t="n">
        <v>21</v>
      </c>
      <c r="I19" s="9" t="s">
        <v>1709</v>
      </c>
      <c r="J19" s="9" t="s">
        <v>1162</v>
      </c>
      <c r="K19" s="9" t="s">
        <v>1163</v>
      </c>
    </row>
    <row r="20" customFormat="false" ht="15" hidden="false" customHeight="false" outlineLevel="0" collapsed="false">
      <c r="A20" s="5" t="s">
        <v>54</v>
      </c>
      <c r="B20" s="5" t="s">
        <v>1710</v>
      </c>
      <c r="C20" s="5" t="s">
        <v>1711</v>
      </c>
      <c r="D20" s="5" t="s">
        <v>1712</v>
      </c>
      <c r="E20" s="5" t="s">
        <v>1628</v>
      </c>
      <c r="F20" s="5" t="s">
        <v>104</v>
      </c>
      <c r="G20" s="5" t="s">
        <v>1713</v>
      </c>
      <c r="H20" s="5" t="n">
        <v>3</v>
      </c>
      <c r="I20" s="5" t="s">
        <v>1709</v>
      </c>
      <c r="J20" s="5" t="s">
        <v>1714</v>
      </c>
      <c r="K20" s="5" t="s">
        <v>1715</v>
      </c>
    </row>
    <row r="21" customFormat="false" ht="15" hidden="false" customHeight="false" outlineLevel="0" collapsed="false">
      <c r="A21" s="5" t="s">
        <v>43</v>
      </c>
      <c r="B21" s="5" t="s">
        <v>1716</v>
      </c>
      <c r="C21" s="5" t="s">
        <v>1717</v>
      </c>
      <c r="D21" s="5" t="s">
        <v>1718</v>
      </c>
      <c r="E21" s="5" t="s">
        <v>1628</v>
      </c>
      <c r="F21" s="5" t="s">
        <v>265</v>
      </c>
      <c r="G21" s="5" t="s">
        <v>436</v>
      </c>
      <c r="H21" s="5" t="n">
        <v>8</v>
      </c>
      <c r="I21" s="5" t="s">
        <v>1709</v>
      </c>
      <c r="J21" s="5" t="s">
        <v>1719</v>
      </c>
      <c r="K21" s="5" t="s">
        <v>1720</v>
      </c>
    </row>
    <row r="22" customFormat="false" ht="15" hidden="false" customHeight="false" outlineLevel="0" collapsed="false">
      <c r="A22" s="5" t="s">
        <v>43</v>
      </c>
      <c r="B22" s="5" t="s">
        <v>1721</v>
      </c>
      <c r="C22" s="5" t="s">
        <v>1722</v>
      </c>
      <c r="D22" s="5" t="s">
        <v>1723</v>
      </c>
      <c r="E22" s="5" t="s">
        <v>1628</v>
      </c>
      <c r="F22" s="5" t="s">
        <v>104</v>
      </c>
      <c r="G22" s="5" t="s">
        <v>459</v>
      </c>
      <c r="H22" s="5" t="n">
        <v>25</v>
      </c>
      <c r="I22" s="5" t="s">
        <v>1656</v>
      </c>
      <c r="J22" s="5" t="s">
        <v>1724</v>
      </c>
      <c r="K22" s="5" t="s">
        <v>1725</v>
      </c>
    </row>
    <row r="23" customFormat="false" ht="15" hidden="false" customHeight="false" outlineLevel="0" collapsed="false">
      <c r="A23" s="5" t="s">
        <v>43</v>
      </c>
      <c r="B23" s="5" t="s">
        <v>444</v>
      </c>
      <c r="C23" s="5" t="s">
        <v>1726</v>
      </c>
      <c r="D23" s="5" t="s">
        <v>1727</v>
      </c>
      <c r="E23" s="5" t="s">
        <v>1628</v>
      </c>
      <c r="F23" s="5" t="s">
        <v>104</v>
      </c>
      <c r="G23" s="5" t="s">
        <v>445</v>
      </c>
      <c r="H23" s="5" t="n">
        <v>13</v>
      </c>
      <c r="I23" s="5" t="s">
        <v>1688</v>
      </c>
      <c r="J23" s="5" t="s">
        <v>446</v>
      </c>
      <c r="K23" s="5" t="s">
        <v>447</v>
      </c>
    </row>
    <row r="24" customFormat="false" ht="15" hidden="false" customHeight="false" outlineLevel="0" collapsed="false">
      <c r="A24" s="5" t="s">
        <v>89</v>
      </c>
      <c r="B24" s="5" t="s">
        <v>1728</v>
      </c>
      <c r="C24" s="5" t="s">
        <v>1729</v>
      </c>
      <c r="D24" s="5" t="s">
        <v>1730</v>
      </c>
      <c r="E24" s="5" t="s">
        <v>1628</v>
      </c>
      <c r="F24" s="5" t="s">
        <v>265</v>
      </c>
      <c r="G24" s="5" t="s">
        <v>345</v>
      </c>
      <c r="H24" s="5" t="n">
        <v>2</v>
      </c>
      <c r="I24" s="5" t="s">
        <v>1635</v>
      </c>
      <c r="J24" s="5" t="s">
        <v>1731</v>
      </c>
      <c r="K24" s="5" t="s">
        <v>1732</v>
      </c>
    </row>
    <row r="25" customFormat="false" ht="15" hidden="false" customHeight="false" outlineLevel="0" collapsed="false">
      <c r="A25" s="5" t="s">
        <v>98</v>
      </c>
      <c r="B25" s="5" t="s">
        <v>1558</v>
      </c>
      <c r="C25" s="5" t="s">
        <v>1733</v>
      </c>
      <c r="D25" s="5" t="s">
        <v>1734</v>
      </c>
      <c r="E25" s="5" t="s">
        <v>1628</v>
      </c>
      <c r="F25" s="5" t="s">
        <v>265</v>
      </c>
      <c r="G25" s="5" t="s">
        <v>436</v>
      </c>
      <c r="H25" s="5" t="n">
        <v>5</v>
      </c>
      <c r="I25" s="5" t="s">
        <v>1664</v>
      </c>
      <c r="J25" s="5" t="s">
        <v>1559</v>
      </c>
      <c r="K25" s="5" t="s">
        <v>1560</v>
      </c>
    </row>
    <row r="26" customFormat="false" ht="15" hidden="false" customHeight="false" outlineLevel="0" collapsed="false">
      <c r="A26" s="5" t="s">
        <v>40</v>
      </c>
      <c r="B26" s="5" t="s">
        <v>359</v>
      </c>
      <c r="C26" s="5" t="s">
        <v>1735</v>
      </c>
      <c r="D26" s="5" t="s">
        <v>1736</v>
      </c>
      <c r="E26" s="5" t="s">
        <v>1628</v>
      </c>
      <c r="F26" s="5" t="s">
        <v>265</v>
      </c>
      <c r="G26" s="5" t="s">
        <v>345</v>
      </c>
      <c r="H26" s="5" t="n">
        <v>5</v>
      </c>
      <c r="I26" s="5" t="s">
        <v>1652</v>
      </c>
      <c r="J26" s="5" t="s">
        <v>360</v>
      </c>
      <c r="K26" s="5" t="s">
        <v>361</v>
      </c>
    </row>
    <row r="27" customFormat="false" ht="15" hidden="false" customHeight="false" outlineLevel="0" collapsed="false">
      <c r="A27" s="5" t="s">
        <v>51</v>
      </c>
      <c r="B27" s="5" t="s">
        <v>1737</v>
      </c>
      <c r="C27" s="5" t="s">
        <v>1738</v>
      </c>
      <c r="D27" s="5" t="s">
        <v>1739</v>
      </c>
      <c r="E27" s="5" t="s">
        <v>1628</v>
      </c>
      <c r="F27" s="5" t="s">
        <v>265</v>
      </c>
      <c r="G27" s="5" t="s">
        <v>345</v>
      </c>
      <c r="H27" s="5" t="n">
        <v>2</v>
      </c>
      <c r="I27" s="5" t="s">
        <v>1709</v>
      </c>
      <c r="J27" s="5" t="s">
        <v>1740</v>
      </c>
      <c r="K27" s="5" t="s">
        <v>1741</v>
      </c>
    </row>
    <row r="28" customFormat="false" ht="15" hidden="false" customHeight="false" outlineLevel="0" collapsed="false">
      <c r="A28" s="5" t="s">
        <v>46</v>
      </c>
      <c r="B28" s="5" t="s">
        <v>510</v>
      </c>
      <c r="C28" s="5" t="s">
        <v>1742</v>
      </c>
      <c r="D28" s="5" t="s">
        <v>1743</v>
      </c>
      <c r="E28" s="5" t="s">
        <v>1628</v>
      </c>
      <c r="F28" s="5" t="s">
        <v>265</v>
      </c>
      <c r="G28" s="5" t="s">
        <v>345</v>
      </c>
      <c r="H28" s="5" t="n">
        <v>3</v>
      </c>
      <c r="I28" s="5" t="s">
        <v>1640</v>
      </c>
      <c r="J28" s="5" t="s">
        <v>511</v>
      </c>
      <c r="K28" s="5" t="s">
        <v>512</v>
      </c>
    </row>
    <row r="29" customFormat="false" ht="15" hidden="false" customHeight="false" outlineLevel="0" collapsed="false">
      <c r="A29" s="5" t="s">
        <v>47</v>
      </c>
      <c r="B29" s="5" t="s">
        <v>1744</v>
      </c>
      <c r="C29" s="5" t="s">
        <v>1745</v>
      </c>
      <c r="D29" s="5" t="s">
        <v>1746</v>
      </c>
      <c r="E29" s="5" t="s">
        <v>1628</v>
      </c>
      <c r="F29" s="5" t="s">
        <v>265</v>
      </c>
      <c r="G29" s="5" t="s">
        <v>345</v>
      </c>
      <c r="H29" s="5" t="n">
        <v>8</v>
      </c>
      <c r="I29" s="5" t="s">
        <v>1747</v>
      </c>
      <c r="J29" s="5" t="s">
        <v>1748</v>
      </c>
      <c r="K29" s="5" t="s">
        <v>1749</v>
      </c>
    </row>
    <row r="30" customFormat="false" ht="15" hidden="false" customHeight="false" outlineLevel="0" collapsed="false">
      <c r="A30" s="5" t="s">
        <v>69</v>
      </c>
      <c r="B30" s="5" t="s">
        <v>1750</v>
      </c>
      <c r="C30" s="5" t="s">
        <v>1751</v>
      </c>
      <c r="D30" s="5" t="s">
        <v>1752</v>
      </c>
      <c r="E30" s="5" t="s">
        <v>1628</v>
      </c>
      <c r="F30" s="5" t="s">
        <v>104</v>
      </c>
      <c r="G30" s="5"/>
      <c r="H30" s="5" t="n">
        <v>2</v>
      </c>
      <c r="I30" s="5" t="s">
        <v>1664</v>
      </c>
      <c r="J30" s="5" t="s">
        <v>1753</v>
      </c>
      <c r="K30" s="5" t="s">
        <v>1754</v>
      </c>
    </row>
    <row r="31" customFormat="false" ht="15" hidden="false" customHeight="false" outlineLevel="0" collapsed="false">
      <c r="A31" s="5" t="s">
        <v>43</v>
      </c>
      <c r="B31" s="5" t="s">
        <v>449</v>
      </c>
      <c r="C31" s="5" t="s">
        <v>1755</v>
      </c>
      <c r="D31" s="5" t="s">
        <v>1756</v>
      </c>
      <c r="E31" s="5" t="s">
        <v>1628</v>
      </c>
      <c r="F31" s="5" t="s">
        <v>104</v>
      </c>
      <c r="G31" s="5" t="s">
        <v>450</v>
      </c>
      <c r="H31" s="5" t="n">
        <v>4</v>
      </c>
      <c r="I31" s="5" t="s">
        <v>1709</v>
      </c>
      <c r="J31" s="5" t="s">
        <v>451</v>
      </c>
      <c r="K31" s="5" t="s">
        <v>452</v>
      </c>
    </row>
    <row r="32" customFormat="false" ht="15" hidden="false" customHeight="false" outlineLevel="0" collapsed="false">
      <c r="A32" s="5" t="s">
        <v>60</v>
      </c>
      <c r="B32" s="5" t="s">
        <v>1757</v>
      </c>
      <c r="C32" s="5" t="s">
        <v>1758</v>
      </c>
      <c r="D32" s="5" t="s">
        <v>1759</v>
      </c>
      <c r="E32" s="5" t="s">
        <v>1628</v>
      </c>
      <c r="F32" s="5" t="s">
        <v>104</v>
      </c>
      <c r="G32" s="5" t="s">
        <v>690</v>
      </c>
      <c r="H32" s="5" t="n">
        <v>17</v>
      </c>
      <c r="I32" s="5" t="s">
        <v>1760</v>
      </c>
      <c r="J32" s="5" t="s">
        <v>1761</v>
      </c>
      <c r="K32" s="5" t="s">
        <v>1762</v>
      </c>
    </row>
    <row r="33" customFormat="false" ht="15" hidden="false" customHeight="false" outlineLevel="0" collapsed="false">
      <c r="A33" s="5" t="s">
        <v>69</v>
      </c>
      <c r="B33" s="5" t="s">
        <v>1015</v>
      </c>
      <c r="C33" s="5" t="s">
        <v>1763</v>
      </c>
      <c r="D33" s="5" t="s">
        <v>1764</v>
      </c>
      <c r="E33" s="5" t="s">
        <v>1628</v>
      </c>
      <c r="F33" s="5" t="s">
        <v>265</v>
      </c>
      <c r="G33" s="5" t="s">
        <v>345</v>
      </c>
      <c r="H33" s="5" t="n">
        <v>2</v>
      </c>
      <c r="I33" s="5" t="s">
        <v>1664</v>
      </c>
      <c r="J33" s="5" t="s">
        <v>1016</v>
      </c>
      <c r="K33" s="5" t="s">
        <v>1017</v>
      </c>
    </row>
    <row r="34" customFormat="false" ht="15" hidden="false" customHeight="false" outlineLevel="0" collapsed="false">
      <c r="A34" s="5" t="s">
        <v>72</v>
      </c>
      <c r="B34" s="5" t="s">
        <v>1765</v>
      </c>
      <c r="C34" s="5" t="s">
        <v>1766</v>
      </c>
      <c r="D34" s="5" t="s">
        <v>1767</v>
      </c>
      <c r="E34" s="5" t="s">
        <v>1628</v>
      </c>
      <c r="F34" s="5" t="s">
        <v>265</v>
      </c>
      <c r="G34" s="5" t="s">
        <v>345</v>
      </c>
      <c r="H34" s="5" t="n">
        <v>3</v>
      </c>
      <c r="I34" s="5" t="s">
        <v>1647</v>
      </c>
      <c r="J34" s="5" t="s">
        <v>1768</v>
      </c>
      <c r="K34" s="5" t="s">
        <v>1769</v>
      </c>
    </row>
    <row r="35" customFormat="false" ht="15" hidden="false" customHeight="false" outlineLevel="0" collapsed="false">
      <c r="A35" s="5" t="s">
        <v>46</v>
      </c>
      <c r="B35" s="5" t="s">
        <v>518</v>
      </c>
      <c r="C35" s="5" t="s">
        <v>1770</v>
      </c>
      <c r="D35" s="5" t="s">
        <v>1771</v>
      </c>
      <c r="E35" s="5" t="s">
        <v>1628</v>
      </c>
      <c r="F35" s="5" t="s">
        <v>265</v>
      </c>
      <c r="G35" s="5" t="s">
        <v>345</v>
      </c>
      <c r="H35" s="5" t="n">
        <v>2</v>
      </c>
      <c r="I35" s="5" t="s">
        <v>1640</v>
      </c>
      <c r="J35" s="5" t="s">
        <v>519</v>
      </c>
      <c r="K35" s="5" t="s">
        <v>520</v>
      </c>
    </row>
    <row r="36" customFormat="false" ht="15" hidden="false" customHeight="false" outlineLevel="0" collapsed="false">
      <c r="A36" s="5" t="s">
        <v>46</v>
      </c>
      <c r="B36" s="5" t="s">
        <v>522</v>
      </c>
      <c r="C36" s="5" t="s">
        <v>1772</v>
      </c>
      <c r="D36" s="5" t="s">
        <v>1773</v>
      </c>
      <c r="E36" s="5" t="s">
        <v>1628</v>
      </c>
      <c r="F36" s="5" t="s">
        <v>104</v>
      </c>
      <c r="G36" s="5" t="s">
        <v>351</v>
      </c>
      <c r="H36" s="5" t="n">
        <v>5</v>
      </c>
      <c r="I36" s="5" t="s">
        <v>1640</v>
      </c>
      <c r="J36" s="5" t="s">
        <v>523</v>
      </c>
      <c r="K36" s="5" t="s">
        <v>524</v>
      </c>
    </row>
    <row r="37" customFormat="false" ht="15" hidden="false" customHeight="false" outlineLevel="0" collapsed="false">
      <c r="A37" s="5" t="s">
        <v>63</v>
      </c>
      <c r="B37" s="5" t="s">
        <v>1774</v>
      </c>
      <c r="C37" s="5" t="s">
        <v>1775</v>
      </c>
      <c r="D37" s="5" t="s">
        <v>1776</v>
      </c>
      <c r="E37" s="5" t="s">
        <v>1628</v>
      </c>
      <c r="F37" s="5" t="s">
        <v>265</v>
      </c>
      <c r="G37" s="5" t="s">
        <v>345</v>
      </c>
      <c r="H37" s="5" t="n">
        <v>2</v>
      </c>
      <c r="I37" s="5" t="s">
        <v>1664</v>
      </c>
      <c r="J37" s="5" t="s">
        <v>1777</v>
      </c>
      <c r="K37" s="5" t="s">
        <v>1778</v>
      </c>
    </row>
    <row r="38" customFormat="false" ht="15" hidden="false" customHeight="false" outlineLevel="0" collapsed="false">
      <c r="A38" s="5" t="s">
        <v>80</v>
      </c>
      <c r="B38" s="5" t="s">
        <v>1779</v>
      </c>
      <c r="C38" s="5" t="s">
        <v>1780</v>
      </c>
      <c r="D38" s="5" t="s">
        <v>1781</v>
      </c>
      <c r="E38" s="5" t="s">
        <v>1628</v>
      </c>
      <c r="F38" s="5" t="s">
        <v>265</v>
      </c>
      <c r="G38" s="5" t="s">
        <v>345</v>
      </c>
      <c r="H38" s="5" t="n">
        <v>4</v>
      </c>
      <c r="I38" s="5" t="s">
        <v>1647</v>
      </c>
      <c r="J38" s="5" t="s">
        <v>1782</v>
      </c>
      <c r="K38" s="5" t="s">
        <v>1783</v>
      </c>
    </row>
    <row r="39" customFormat="false" ht="15" hidden="false" customHeight="false" outlineLevel="0" collapsed="false">
      <c r="A39" s="5" t="s">
        <v>69</v>
      </c>
      <c r="B39" s="5" t="s">
        <v>1784</v>
      </c>
      <c r="C39" s="5" t="s">
        <v>1785</v>
      </c>
      <c r="D39" s="5" t="s">
        <v>1786</v>
      </c>
      <c r="E39" s="5" t="s">
        <v>1628</v>
      </c>
      <c r="F39" s="5" t="s">
        <v>265</v>
      </c>
      <c r="G39" s="5" t="s">
        <v>345</v>
      </c>
      <c r="H39" s="5" t="n">
        <v>4</v>
      </c>
      <c r="I39" s="5" t="s">
        <v>1709</v>
      </c>
      <c r="J39" s="5" t="s">
        <v>1787</v>
      </c>
      <c r="K39" s="5" t="s">
        <v>1788</v>
      </c>
    </row>
    <row r="40" customFormat="false" ht="15" hidden="false" customHeight="false" outlineLevel="0" collapsed="false">
      <c r="A40" s="5" t="s">
        <v>40</v>
      </c>
      <c r="B40" s="5" t="s">
        <v>363</v>
      </c>
      <c r="C40" s="5" t="s">
        <v>1789</v>
      </c>
      <c r="D40" s="5" t="s">
        <v>1790</v>
      </c>
      <c r="E40" s="5" t="s">
        <v>1628</v>
      </c>
      <c r="F40" s="5" t="s">
        <v>265</v>
      </c>
      <c r="G40" s="5" t="s">
        <v>345</v>
      </c>
      <c r="H40" s="5" t="n">
        <v>4</v>
      </c>
      <c r="I40" s="5" t="s">
        <v>1640</v>
      </c>
      <c r="J40" s="5" t="s">
        <v>364</v>
      </c>
      <c r="K40" s="5" t="s">
        <v>365</v>
      </c>
    </row>
    <row r="41" customFormat="false" ht="15" hidden="false" customHeight="false" outlineLevel="0" collapsed="false">
      <c r="A41" s="5" t="s">
        <v>95</v>
      </c>
      <c r="B41" s="5" t="s">
        <v>1791</v>
      </c>
      <c r="C41" s="5" t="s">
        <v>1792</v>
      </c>
      <c r="D41" s="5" t="s">
        <v>1793</v>
      </c>
      <c r="E41" s="5" t="s">
        <v>1628</v>
      </c>
      <c r="F41" s="5" t="s">
        <v>265</v>
      </c>
      <c r="G41" s="5" t="s">
        <v>345</v>
      </c>
      <c r="H41" s="5" t="n">
        <v>3</v>
      </c>
      <c r="I41" s="5" t="s">
        <v>1794</v>
      </c>
      <c r="J41" s="5" t="s">
        <v>1795</v>
      </c>
      <c r="K41" s="5" t="s">
        <v>1796</v>
      </c>
    </row>
    <row r="42" customFormat="false" ht="15" hidden="false" customHeight="false" outlineLevel="0" collapsed="false">
      <c r="A42" s="5" t="s">
        <v>46</v>
      </c>
      <c r="B42" s="5" t="s">
        <v>1797</v>
      </c>
      <c r="C42" s="5" t="s">
        <v>1798</v>
      </c>
      <c r="D42" s="5" t="s">
        <v>1799</v>
      </c>
      <c r="E42" s="5" t="s">
        <v>1628</v>
      </c>
      <c r="F42" s="5" t="s">
        <v>265</v>
      </c>
      <c r="G42" s="5" t="s">
        <v>436</v>
      </c>
      <c r="H42" s="5" t="n">
        <v>3</v>
      </c>
      <c r="I42" s="5" t="s">
        <v>1800</v>
      </c>
      <c r="J42" s="5" t="s">
        <v>1801</v>
      </c>
      <c r="K42" s="5" t="s">
        <v>1802</v>
      </c>
    </row>
    <row r="43" customFormat="false" ht="15" hidden="false" customHeight="false" outlineLevel="0" collapsed="false">
      <c r="A43" s="5" t="s">
        <v>89</v>
      </c>
      <c r="B43" s="5" t="s">
        <v>1392</v>
      </c>
      <c r="C43" s="5" t="s">
        <v>1803</v>
      </c>
      <c r="D43" s="5" t="s">
        <v>1804</v>
      </c>
      <c r="E43" s="5" t="s">
        <v>1628</v>
      </c>
      <c r="F43" s="5" t="s">
        <v>104</v>
      </c>
      <c r="G43" s="5"/>
      <c r="H43" s="5" t="n">
        <v>2</v>
      </c>
      <c r="I43" s="5" t="s">
        <v>1656</v>
      </c>
      <c r="J43" s="5" t="s">
        <v>1393</v>
      </c>
      <c r="K43" s="5" t="s">
        <v>1394</v>
      </c>
    </row>
    <row r="44" customFormat="false" ht="15" hidden="false" customHeight="false" outlineLevel="0" collapsed="false">
      <c r="A44" s="5" t="s">
        <v>104</v>
      </c>
      <c r="B44" s="5" t="s">
        <v>1805</v>
      </c>
      <c r="C44" s="5"/>
      <c r="D44" s="5"/>
      <c r="E44" s="5" t="s">
        <v>1628</v>
      </c>
      <c r="F44" s="5" t="s">
        <v>265</v>
      </c>
      <c r="G44" s="5" t="s">
        <v>345</v>
      </c>
      <c r="H44" s="5" t="n">
        <v>12</v>
      </c>
      <c r="I44" s="5" t="s">
        <v>1647</v>
      </c>
      <c r="J44" s="5" t="s">
        <v>1806</v>
      </c>
      <c r="K44" s="5" t="s">
        <v>1807</v>
      </c>
    </row>
    <row r="45" customFormat="false" ht="15" hidden="false" customHeight="false" outlineLevel="0" collapsed="false">
      <c r="A45" s="5" t="s">
        <v>92</v>
      </c>
      <c r="B45" s="5" t="s">
        <v>1808</v>
      </c>
      <c r="C45" s="5" t="s">
        <v>1809</v>
      </c>
      <c r="D45" s="5" t="s">
        <v>1810</v>
      </c>
      <c r="E45" s="5" t="s">
        <v>1628</v>
      </c>
      <c r="F45" s="5" t="s">
        <v>265</v>
      </c>
      <c r="G45" s="5" t="s">
        <v>345</v>
      </c>
      <c r="H45" s="5" t="n">
        <v>3</v>
      </c>
      <c r="I45" s="5" t="s">
        <v>1811</v>
      </c>
      <c r="J45" s="5" t="s">
        <v>1812</v>
      </c>
      <c r="K45" s="5" t="s">
        <v>1813</v>
      </c>
    </row>
    <row r="46" customFormat="false" ht="15" hidden="false" customHeight="false" outlineLevel="0" collapsed="false">
      <c r="A46" s="5" t="s">
        <v>54</v>
      </c>
      <c r="B46" s="5" t="s">
        <v>1814</v>
      </c>
      <c r="C46" s="5" t="s">
        <v>1815</v>
      </c>
      <c r="D46" s="5" t="s">
        <v>1816</v>
      </c>
      <c r="E46" s="5" t="s">
        <v>1628</v>
      </c>
      <c r="F46" s="5" t="s">
        <v>265</v>
      </c>
      <c r="G46" s="5" t="s">
        <v>760</v>
      </c>
      <c r="H46" s="5" t="n">
        <v>5</v>
      </c>
      <c r="I46" s="5" t="s">
        <v>1709</v>
      </c>
      <c r="J46" s="5" t="s">
        <v>1817</v>
      </c>
      <c r="K46" s="5" t="s">
        <v>1818</v>
      </c>
    </row>
    <row r="47" customFormat="false" ht="15" hidden="false" customHeight="false" outlineLevel="0" collapsed="false">
      <c r="A47" s="5" t="s">
        <v>69</v>
      </c>
      <c r="B47" s="5" t="s">
        <v>1019</v>
      </c>
      <c r="C47" s="5" t="s">
        <v>1819</v>
      </c>
      <c r="D47" s="5" t="s">
        <v>1820</v>
      </c>
      <c r="E47" s="5" t="s">
        <v>1628</v>
      </c>
      <c r="F47" s="5" t="s">
        <v>104</v>
      </c>
      <c r="G47" s="5" t="s">
        <v>1020</v>
      </c>
      <c r="H47" s="5" t="n">
        <v>3</v>
      </c>
      <c r="I47" s="5" t="s">
        <v>1664</v>
      </c>
      <c r="J47" s="5" t="s">
        <v>1021</v>
      </c>
      <c r="K47" s="5" t="s">
        <v>1022</v>
      </c>
    </row>
    <row r="48" customFormat="false" ht="15" hidden="false" customHeight="false" outlineLevel="0" collapsed="false">
      <c r="A48" s="5" t="s">
        <v>40</v>
      </c>
      <c r="B48" s="5" t="s">
        <v>1821</v>
      </c>
      <c r="C48" s="5" t="s">
        <v>1822</v>
      </c>
      <c r="D48" s="5" t="s">
        <v>1823</v>
      </c>
      <c r="E48" s="5" t="s">
        <v>1628</v>
      </c>
      <c r="F48" s="5" t="s">
        <v>265</v>
      </c>
      <c r="G48" s="5" t="s">
        <v>436</v>
      </c>
      <c r="H48" s="5" t="n">
        <v>5</v>
      </c>
      <c r="I48" s="5" t="s">
        <v>1652</v>
      </c>
      <c r="J48" s="5" t="s">
        <v>1824</v>
      </c>
      <c r="K48" s="5" t="s">
        <v>1825</v>
      </c>
    </row>
    <row r="49" customFormat="false" ht="15" hidden="false" customHeight="false" outlineLevel="0" collapsed="false">
      <c r="A49" s="5" t="s">
        <v>95</v>
      </c>
      <c r="B49" s="5" t="s">
        <v>1826</v>
      </c>
      <c r="C49" s="5" t="s">
        <v>1827</v>
      </c>
      <c r="D49" s="5" t="s">
        <v>1828</v>
      </c>
      <c r="E49" s="5" t="s">
        <v>1628</v>
      </c>
      <c r="F49" s="5" t="s">
        <v>265</v>
      </c>
      <c r="G49" s="5" t="s">
        <v>345</v>
      </c>
      <c r="H49" s="5" t="n">
        <v>3</v>
      </c>
      <c r="I49" s="5" t="s">
        <v>1829</v>
      </c>
      <c r="J49" s="5" t="s">
        <v>1830</v>
      </c>
      <c r="K49" s="5" t="s">
        <v>1831</v>
      </c>
    </row>
    <row r="50" customFormat="false" ht="15" hidden="false" customHeight="false" outlineLevel="0" collapsed="false">
      <c r="A50" s="5" t="s">
        <v>101</v>
      </c>
      <c r="B50" s="5" t="s">
        <v>1832</v>
      </c>
      <c r="C50" s="5" t="s">
        <v>1833</v>
      </c>
      <c r="D50" s="5" t="s">
        <v>1834</v>
      </c>
      <c r="E50" s="5" t="s">
        <v>1628</v>
      </c>
      <c r="F50" s="5" t="s">
        <v>265</v>
      </c>
      <c r="G50" s="5" t="s">
        <v>1835</v>
      </c>
      <c r="H50" s="5" t="n">
        <v>2</v>
      </c>
      <c r="I50" s="5" t="s">
        <v>1836</v>
      </c>
      <c r="J50" s="5" t="s">
        <v>1837</v>
      </c>
      <c r="K50" s="5" t="s">
        <v>1838</v>
      </c>
    </row>
    <row r="51" customFormat="false" ht="15" hidden="false" customHeight="false" outlineLevel="0" collapsed="false">
      <c r="A51" s="5" t="s">
        <v>80</v>
      </c>
      <c r="B51" s="5" t="s">
        <v>1839</v>
      </c>
      <c r="C51" s="5" t="s">
        <v>1840</v>
      </c>
      <c r="D51" s="5" t="s">
        <v>1841</v>
      </c>
      <c r="E51" s="5" t="s">
        <v>1628</v>
      </c>
      <c r="F51" s="5" t="s">
        <v>265</v>
      </c>
      <c r="G51" s="5" t="s">
        <v>345</v>
      </c>
      <c r="H51" s="5" t="n">
        <v>1</v>
      </c>
      <c r="I51" s="5" t="s">
        <v>1647</v>
      </c>
      <c r="J51" s="5" t="s">
        <v>1842</v>
      </c>
      <c r="K51" s="5" t="s">
        <v>1843</v>
      </c>
    </row>
    <row r="52" customFormat="false" ht="15" hidden="false" customHeight="false" outlineLevel="0" collapsed="false">
      <c r="A52" s="5" t="s">
        <v>89</v>
      </c>
      <c r="B52" s="5" t="s">
        <v>1844</v>
      </c>
      <c r="C52" s="5" t="s">
        <v>1845</v>
      </c>
      <c r="D52" s="5" t="s">
        <v>1846</v>
      </c>
      <c r="E52" s="5" t="s">
        <v>1628</v>
      </c>
      <c r="F52" s="5" t="s">
        <v>265</v>
      </c>
      <c r="G52" s="5" t="s">
        <v>436</v>
      </c>
      <c r="H52" s="5" t="n">
        <v>3</v>
      </c>
      <c r="I52" s="5" t="s">
        <v>1847</v>
      </c>
      <c r="J52" s="5" t="s">
        <v>1848</v>
      </c>
      <c r="K52" s="5" t="s">
        <v>1849</v>
      </c>
    </row>
    <row r="53" customFormat="false" ht="15" hidden="false" customHeight="false" outlineLevel="0" collapsed="false">
      <c r="A53" s="5" t="s">
        <v>89</v>
      </c>
      <c r="B53" s="5" t="s">
        <v>1850</v>
      </c>
      <c r="C53" s="5" t="s">
        <v>1851</v>
      </c>
      <c r="D53" s="5" t="s">
        <v>1852</v>
      </c>
      <c r="E53" s="5" t="s">
        <v>1628</v>
      </c>
      <c r="F53" s="5" t="s">
        <v>104</v>
      </c>
      <c r="G53" s="5"/>
      <c r="H53" s="5" t="n">
        <v>3</v>
      </c>
      <c r="I53" s="5" t="s">
        <v>1688</v>
      </c>
      <c r="J53" s="5" t="s">
        <v>1853</v>
      </c>
      <c r="K53" s="5" t="s">
        <v>1854</v>
      </c>
    </row>
    <row r="54" customFormat="false" ht="15" hidden="false" customHeight="false" outlineLevel="0" collapsed="false">
      <c r="A54" s="5" t="s">
        <v>43</v>
      </c>
      <c r="B54" s="5" t="s">
        <v>1855</v>
      </c>
      <c r="C54" s="5" t="s">
        <v>1856</v>
      </c>
      <c r="D54" s="5" t="s">
        <v>1857</v>
      </c>
      <c r="E54" s="5" t="s">
        <v>1628</v>
      </c>
      <c r="F54" s="5" t="s">
        <v>265</v>
      </c>
      <c r="G54" s="5" t="s">
        <v>436</v>
      </c>
      <c r="H54" s="5" t="n">
        <v>2</v>
      </c>
      <c r="I54" s="5" t="s">
        <v>1858</v>
      </c>
      <c r="J54" s="5" t="s">
        <v>1859</v>
      </c>
      <c r="K54" s="5" t="s">
        <v>1860</v>
      </c>
    </row>
    <row r="55" customFormat="false" ht="15" hidden="false" customHeight="false" outlineLevel="0" collapsed="false">
      <c r="A55" s="5" t="s">
        <v>72</v>
      </c>
      <c r="B55" s="5" t="s">
        <v>1861</v>
      </c>
      <c r="C55" s="5" t="s">
        <v>1862</v>
      </c>
      <c r="D55" s="5" t="s">
        <v>1863</v>
      </c>
      <c r="E55" s="5" t="s">
        <v>1628</v>
      </c>
      <c r="F55" s="5" t="s">
        <v>265</v>
      </c>
      <c r="G55" s="5" t="s">
        <v>345</v>
      </c>
      <c r="H55" s="5" t="n">
        <v>4</v>
      </c>
      <c r="I55" s="5" t="s">
        <v>1664</v>
      </c>
      <c r="J55" s="5" t="s">
        <v>1864</v>
      </c>
      <c r="K55" s="5" t="s">
        <v>1865</v>
      </c>
    </row>
    <row r="56" customFormat="false" ht="15" hidden="false" customHeight="false" outlineLevel="0" collapsed="false">
      <c r="A56" s="5" t="s">
        <v>69</v>
      </c>
      <c r="B56" s="5" t="s">
        <v>1866</v>
      </c>
      <c r="C56" s="5" t="s">
        <v>1867</v>
      </c>
      <c r="D56" s="5" t="s">
        <v>1868</v>
      </c>
      <c r="E56" s="5" t="s">
        <v>1628</v>
      </c>
      <c r="F56" s="5" t="s">
        <v>265</v>
      </c>
      <c r="G56" s="5" t="s">
        <v>345</v>
      </c>
      <c r="H56" s="5" t="n">
        <v>3</v>
      </c>
      <c r="I56" s="5" t="s">
        <v>1709</v>
      </c>
      <c r="J56" s="5" t="s">
        <v>1869</v>
      </c>
      <c r="K56" s="5" t="s">
        <v>1870</v>
      </c>
    </row>
    <row r="57" customFormat="false" ht="15" hidden="false" customHeight="false" outlineLevel="0" collapsed="false">
      <c r="A57" s="5" t="s">
        <v>51</v>
      </c>
      <c r="B57" s="5" t="s">
        <v>680</v>
      </c>
      <c r="C57" s="5" t="s">
        <v>1871</v>
      </c>
      <c r="D57" s="5" t="s">
        <v>1872</v>
      </c>
      <c r="E57" s="5" t="s">
        <v>1628</v>
      </c>
      <c r="F57" s="5" t="s">
        <v>265</v>
      </c>
      <c r="G57" s="5" t="s">
        <v>345</v>
      </c>
      <c r="H57" s="5" t="n">
        <v>8</v>
      </c>
      <c r="I57" s="5" t="s">
        <v>1656</v>
      </c>
      <c r="J57" s="5" t="s">
        <v>681</v>
      </c>
      <c r="K57" s="5" t="s">
        <v>682</v>
      </c>
    </row>
    <row r="58" customFormat="false" ht="15" hidden="false" customHeight="false" outlineLevel="0" collapsed="false">
      <c r="A58" s="5" t="s">
        <v>83</v>
      </c>
      <c r="B58" s="5" t="s">
        <v>1873</v>
      </c>
      <c r="C58" s="5" t="s">
        <v>1874</v>
      </c>
      <c r="D58" s="5" t="s">
        <v>1875</v>
      </c>
      <c r="E58" s="5" t="s">
        <v>1628</v>
      </c>
      <c r="F58" s="5" t="s">
        <v>265</v>
      </c>
      <c r="G58" s="5" t="s">
        <v>775</v>
      </c>
      <c r="H58" s="5" t="n">
        <v>50</v>
      </c>
      <c r="I58" s="5" t="s">
        <v>1876</v>
      </c>
      <c r="J58" s="5" t="s">
        <v>1877</v>
      </c>
      <c r="K58" s="5" t="s">
        <v>1878</v>
      </c>
    </row>
    <row r="59" customFormat="false" ht="15" hidden="false" customHeight="false" outlineLevel="0" collapsed="false">
      <c r="A59" s="5" t="s">
        <v>54</v>
      </c>
      <c r="B59" s="5" t="s">
        <v>1879</v>
      </c>
      <c r="C59" s="5" t="s">
        <v>1880</v>
      </c>
      <c r="D59" s="5" t="s">
        <v>1881</v>
      </c>
      <c r="E59" s="5" t="s">
        <v>1628</v>
      </c>
      <c r="F59" s="5" t="s">
        <v>265</v>
      </c>
      <c r="G59" s="5" t="s">
        <v>345</v>
      </c>
      <c r="H59" s="5" t="n">
        <v>5</v>
      </c>
      <c r="I59" s="5" t="s">
        <v>1882</v>
      </c>
      <c r="J59" s="5" t="s">
        <v>1883</v>
      </c>
      <c r="K59" s="5" t="s">
        <v>1884</v>
      </c>
    </row>
    <row r="60" customFormat="false" ht="15" hidden="false" customHeight="false" outlineLevel="0" collapsed="false">
      <c r="A60" s="5" t="s">
        <v>54</v>
      </c>
      <c r="B60" s="5" t="s">
        <v>1885</v>
      </c>
      <c r="C60" s="5" t="s">
        <v>1886</v>
      </c>
      <c r="D60" s="5" t="s">
        <v>1887</v>
      </c>
      <c r="E60" s="5" t="s">
        <v>1628</v>
      </c>
      <c r="F60" s="5" t="s">
        <v>265</v>
      </c>
      <c r="G60" s="5" t="s">
        <v>345</v>
      </c>
      <c r="H60" s="5" t="n">
        <v>6</v>
      </c>
      <c r="I60" s="5" t="s">
        <v>1882</v>
      </c>
      <c r="J60" s="5" t="s">
        <v>1888</v>
      </c>
      <c r="K60" s="5" t="s">
        <v>1889</v>
      </c>
    </row>
    <row r="61" customFormat="false" ht="15" hidden="false" customHeight="false" outlineLevel="0" collapsed="false">
      <c r="A61" s="5" t="s">
        <v>51</v>
      </c>
      <c r="B61" s="5" t="s">
        <v>1890</v>
      </c>
      <c r="C61" s="5" t="s">
        <v>1891</v>
      </c>
      <c r="D61" s="5" t="s">
        <v>1892</v>
      </c>
      <c r="E61" s="5" t="s">
        <v>1628</v>
      </c>
      <c r="F61" s="5" t="s">
        <v>265</v>
      </c>
      <c r="G61" s="5" t="s">
        <v>345</v>
      </c>
      <c r="H61" s="5" t="n">
        <v>5</v>
      </c>
      <c r="I61" s="5" t="s">
        <v>1709</v>
      </c>
      <c r="J61" s="5" t="s">
        <v>1893</v>
      </c>
      <c r="K61" s="5" t="s">
        <v>1894</v>
      </c>
    </row>
    <row r="62" customFormat="false" ht="15" hidden="false" customHeight="false" outlineLevel="0" collapsed="false">
      <c r="A62" s="5" t="s">
        <v>47</v>
      </c>
      <c r="B62" s="5" t="s">
        <v>1895</v>
      </c>
      <c r="C62" s="5" t="s">
        <v>1896</v>
      </c>
      <c r="D62" s="5" t="s">
        <v>1897</v>
      </c>
      <c r="E62" s="5" t="s">
        <v>1628</v>
      </c>
      <c r="F62" s="5" t="s">
        <v>265</v>
      </c>
      <c r="G62" s="5" t="s">
        <v>345</v>
      </c>
      <c r="H62" s="5" t="n">
        <v>3</v>
      </c>
      <c r="I62" s="5" t="s">
        <v>1898</v>
      </c>
      <c r="J62" s="5" t="s">
        <v>1899</v>
      </c>
      <c r="K62" s="5" t="s">
        <v>1900</v>
      </c>
    </row>
    <row r="63" customFormat="false" ht="15" hidden="false" customHeight="false" outlineLevel="0" collapsed="false">
      <c r="A63" s="5" t="s">
        <v>76</v>
      </c>
      <c r="B63" s="5" t="s">
        <v>1173</v>
      </c>
      <c r="C63" s="5" t="s">
        <v>1901</v>
      </c>
      <c r="D63" s="5" t="s">
        <v>1902</v>
      </c>
      <c r="E63" s="5" t="s">
        <v>1628</v>
      </c>
      <c r="F63" s="5" t="s">
        <v>265</v>
      </c>
      <c r="G63" s="5" t="s">
        <v>345</v>
      </c>
      <c r="H63" s="5" t="n">
        <v>2</v>
      </c>
      <c r="I63" s="5" t="s">
        <v>1709</v>
      </c>
      <c r="J63" s="5" t="s">
        <v>1174</v>
      </c>
      <c r="K63" s="5" t="s">
        <v>1175</v>
      </c>
    </row>
    <row r="64" customFormat="false" ht="15" hidden="false" customHeight="false" outlineLevel="0" collapsed="false">
      <c r="A64" s="5" t="s">
        <v>54</v>
      </c>
      <c r="B64" s="5" t="s">
        <v>1903</v>
      </c>
      <c r="C64" s="5" t="s">
        <v>1904</v>
      </c>
      <c r="D64" s="5" t="s">
        <v>1905</v>
      </c>
      <c r="E64" s="5" t="s">
        <v>1628</v>
      </c>
      <c r="F64" s="5" t="s">
        <v>104</v>
      </c>
      <c r="G64" s="5"/>
      <c r="H64" s="5" t="n">
        <v>6</v>
      </c>
      <c r="I64" s="5" t="s">
        <v>1882</v>
      </c>
      <c r="J64" s="5" t="s">
        <v>1906</v>
      </c>
      <c r="K64" s="5" t="s">
        <v>1907</v>
      </c>
    </row>
    <row r="65" customFormat="false" ht="15" hidden="false" customHeight="false" outlineLevel="0" collapsed="false">
      <c r="A65" s="5" t="s">
        <v>69</v>
      </c>
      <c r="B65" s="5" t="s">
        <v>1908</v>
      </c>
      <c r="C65" s="5" t="s">
        <v>1909</v>
      </c>
      <c r="D65" s="5" t="s">
        <v>1910</v>
      </c>
      <c r="E65" s="5" t="s">
        <v>1628</v>
      </c>
      <c r="F65" s="5" t="s">
        <v>265</v>
      </c>
      <c r="G65" s="5" t="s">
        <v>345</v>
      </c>
      <c r="H65" s="5" t="n">
        <v>2</v>
      </c>
      <c r="I65" s="5" t="s">
        <v>1911</v>
      </c>
      <c r="J65" s="5" t="s">
        <v>1912</v>
      </c>
      <c r="K65" s="5" t="s">
        <v>1913</v>
      </c>
    </row>
    <row r="66" customFormat="false" ht="15" hidden="false" customHeight="false" outlineLevel="0" collapsed="false">
      <c r="A66" s="5" t="s">
        <v>101</v>
      </c>
      <c r="B66" s="5" t="s">
        <v>1594</v>
      </c>
      <c r="C66" s="5" t="s">
        <v>1914</v>
      </c>
      <c r="D66" s="5" t="s">
        <v>1915</v>
      </c>
      <c r="E66" s="5" t="s">
        <v>1628</v>
      </c>
      <c r="F66" s="5" t="s">
        <v>265</v>
      </c>
      <c r="G66" s="5" t="s">
        <v>345</v>
      </c>
      <c r="H66" s="5" t="n">
        <v>5</v>
      </c>
      <c r="I66" s="5" t="s">
        <v>1836</v>
      </c>
      <c r="J66" s="5" t="s">
        <v>1595</v>
      </c>
      <c r="K66" s="5" t="s">
        <v>1596</v>
      </c>
    </row>
    <row r="67" customFormat="false" ht="15" hidden="false" customHeight="false" outlineLevel="0" collapsed="false">
      <c r="A67" s="5" t="s">
        <v>83</v>
      </c>
      <c r="B67" s="5" t="s">
        <v>1916</v>
      </c>
      <c r="C67" s="5" t="s">
        <v>1917</v>
      </c>
      <c r="D67" s="5" t="s">
        <v>1918</v>
      </c>
      <c r="E67" s="5" t="s">
        <v>1628</v>
      </c>
      <c r="F67" s="5" t="s">
        <v>265</v>
      </c>
      <c r="G67" s="5" t="s">
        <v>345</v>
      </c>
      <c r="H67" s="5" t="n">
        <v>2</v>
      </c>
      <c r="I67" s="5" t="s">
        <v>1919</v>
      </c>
      <c r="J67" s="5" t="s">
        <v>1920</v>
      </c>
      <c r="K67" s="5" t="s">
        <v>1921</v>
      </c>
    </row>
    <row r="68" customFormat="false" ht="15" hidden="false" customHeight="false" outlineLevel="0" collapsed="false">
      <c r="A68" s="5" t="s">
        <v>54</v>
      </c>
      <c r="B68" s="5" t="s">
        <v>755</v>
      </c>
      <c r="C68" s="5" t="s">
        <v>1922</v>
      </c>
      <c r="D68" s="5" t="s">
        <v>1923</v>
      </c>
      <c r="E68" s="5" t="s">
        <v>1628</v>
      </c>
      <c r="F68" s="5" t="s">
        <v>265</v>
      </c>
      <c r="G68" s="5" t="s">
        <v>345</v>
      </c>
      <c r="H68" s="5" t="n">
        <v>5</v>
      </c>
      <c r="I68" s="5" t="s">
        <v>1629</v>
      </c>
      <c r="J68" s="5" t="s">
        <v>756</v>
      </c>
      <c r="K68" s="5" t="s">
        <v>757</v>
      </c>
    </row>
    <row r="69" customFormat="false" ht="15" hidden="false" customHeight="false" outlineLevel="0" collapsed="false">
      <c r="A69" s="5" t="s">
        <v>95</v>
      </c>
      <c r="B69" s="5" t="s">
        <v>1924</v>
      </c>
      <c r="C69" s="5" t="s">
        <v>1925</v>
      </c>
      <c r="D69" s="5" t="s">
        <v>1926</v>
      </c>
      <c r="E69" s="5" t="s">
        <v>1628</v>
      </c>
      <c r="F69" s="5" t="s">
        <v>265</v>
      </c>
      <c r="G69" s="5" t="s">
        <v>345</v>
      </c>
      <c r="H69" s="5" t="n">
        <v>2</v>
      </c>
      <c r="I69" s="5" t="s">
        <v>1927</v>
      </c>
      <c r="J69" s="5" t="s">
        <v>1928</v>
      </c>
      <c r="K69" s="5" t="s">
        <v>1929</v>
      </c>
    </row>
    <row r="70" customFormat="false" ht="15" hidden="false" customHeight="false" outlineLevel="0" collapsed="false">
      <c r="A70" s="5" t="s">
        <v>54</v>
      </c>
      <c r="B70" s="5" t="s">
        <v>1930</v>
      </c>
      <c r="C70" s="5" t="s">
        <v>1931</v>
      </c>
      <c r="D70" s="5" t="s">
        <v>1932</v>
      </c>
      <c r="E70" s="5" t="s">
        <v>1628</v>
      </c>
      <c r="F70" s="5" t="s">
        <v>265</v>
      </c>
      <c r="G70" s="5" t="s">
        <v>345</v>
      </c>
      <c r="H70" s="5" t="n">
        <v>8</v>
      </c>
      <c r="I70" s="5" t="s">
        <v>1882</v>
      </c>
      <c r="J70" s="5" t="s">
        <v>1933</v>
      </c>
      <c r="K70" s="5" t="s">
        <v>1934</v>
      </c>
    </row>
    <row r="71" customFormat="false" ht="15" hidden="false" customHeight="false" outlineLevel="0" collapsed="false">
      <c r="A71" s="5" t="s">
        <v>66</v>
      </c>
      <c r="B71" s="5" t="s">
        <v>956</v>
      </c>
      <c r="C71" s="5" t="s">
        <v>1935</v>
      </c>
      <c r="D71" s="5" t="s">
        <v>1936</v>
      </c>
      <c r="E71" s="5" t="s">
        <v>1628</v>
      </c>
      <c r="F71" s="5" t="s">
        <v>265</v>
      </c>
      <c r="G71" s="5" t="s">
        <v>345</v>
      </c>
      <c r="H71" s="5" t="n">
        <v>2</v>
      </c>
      <c r="I71" s="5" t="s">
        <v>1664</v>
      </c>
      <c r="J71" s="5" t="s">
        <v>957</v>
      </c>
      <c r="K71" s="5" t="s">
        <v>958</v>
      </c>
    </row>
    <row r="72" customFormat="false" ht="15" hidden="false" customHeight="false" outlineLevel="0" collapsed="false">
      <c r="A72" s="5" t="s">
        <v>60</v>
      </c>
      <c r="B72" s="5" t="s">
        <v>845</v>
      </c>
      <c r="C72" s="5" t="s">
        <v>1937</v>
      </c>
      <c r="D72" s="5" t="s">
        <v>1938</v>
      </c>
      <c r="E72" s="5" t="s">
        <v>1628</v>
      </c>
      <c r="F72" s="5" t="s">
        <v>265</v>
      </c>
      <c r="G72" s="5" t="s">
        <v>345</v>
      </c>
      <c r="H72" s="5" t="n">
        <v>15</v>
      </c>
      <c r="I72" s="5" t="s">
        <v>1760</v>
      </c>
      <c r="J72" s="5" t="s">
        <v>846</v>
      </c>
      <c r="K72" s="5" t="s">
        <v>847</v>
      </c>
    </row>
    <row r="73" customFormat="false" ht="15" hidden="false" customHeight="false" outlineLevel="0" collapsed="false">
      <c r="A73" s="5" t="s">
        <v>80</v>
      </c>
      <c r="B73" s="5" t="s">
        <v>1939</v>
      </c>
      <c r="C73" s="5" t="s">
        <v>1940</v>
      </c>
      <c r="D73" s="5" t="s">
        <v>1941</v>
      </c>
      <c r="E73" s="5" t="s">
        <v>1628</v>
      </c>
      <c r="F73" s="5" t="s">
        <v>265</v>
      </c>
      <c r="G73" s="5" t="s">
        <v>345</v>
      </c>
      <c r="H73" s="5" t="n">
        <v>3</v>
      </c>
      <c r="I73" s="5" t="s">
        <v>1647</v>
      </c>
      <c r="J73" s="5" t="s">
        <v>1942</v>
      </c>
      <c r="K73" s="5" t="s">
        <v>1943</v>
      </c>
    </row>
    <row r="74" customFormat="false" ht="15" hidden="false" customHeight="false" outlineLevel="0" collapsed="false">
      <c r="A74" s="5" t="s">
        <v>63</v>
      </c>
      <c r="B74" s="5" t="s">
        <v>896</v>
      </c>
      <c r="C74" s="5" t="s">
        <v>1944</v>
      </c>
      <c r="D74" s="5" t="s">
        <v>1945</v>
      </c>
      <c r="E74" s="5" t="s">
        <v>1628</v>
      </c>
      <c r="F74" s="5" t="s">
        <v>265</v>
      </c>
      <c r="G74" s="5" t="s">
        <v>345</v>
      </c>
      <c r="H74" s="5" t="n">
        <v>2</v>
      </c>
      <c r="I74" s="5" t="s">
        <v>1664</v>
      </c>
      <c r="J74" s="5" t="s">
        <v>897</v>
      </c>
      <c r="K74" s="5" t="s">
        <v>898</v>
      </c>
    </row>
    <row r="75" customFormat="false" ht="15" hidden="false" customHeight="false" outlineLevel="0" collapsed="false">
      <c r="A75" s="5" t="s">
        <v>98</v>
      </c>
      <c r="B75" s="5" t="s">
        <v>1946</v>
      </c>
      <c r="C75" s="5" t="s">
        <v>1947</v>
      </c>
      <c r="D75" s="5" t="s">
        <v>1948</v>
      </c>
      <c r="E75" s="5" t="s">
        <v>1628</v>
      </c>
      <c r="F75" s="5" t="s">
        <v>265</v>
      </c>
      <c r="G75" s="5" t="s">
        <v>345</v>
      </c>
      <c r="H75" s="5" t="n">
        <v>2</v>
      </c>
      <c r="I75" s="5" t="s">
        <v>1747</v>
      </c>
      <c r="J75" s="5" t="s">
        <v>1949</v>
      </c>
      <c r="K75" s="5" t="s">
        <v>1950</v>
      </c>
    </row>
    <row r="76" customFormat="false" ht="15" hidden="false" customHeight="false" outlineLevel="0" collapsed="false">
      <c r="A76" s="5" t="s">
        <v>66</v>
      </c>
      <c r="B76" s="5" t="s">
        <v>1951</v>
      </c>
      <c r="C76" s="5" t="s">
        <v>1952</v>
      </c>
      <c r="D76" s="5" t="s">
        <v>1953</v>
      </c>
      <c r="E76" s="5" t="s">
        <v>1628</v>
      </c>
      <c r="F76" s="5" t="s">
        <v>265</v>
      </c>
      <c r="G76" s="5" t="s">
        <v>345</v>
      </c>
      <c r="H76" s="5" t="n">
        <v>2</v>
      </c>
      <c r="I76" s="5" t="s">
        <v>1709</v>
      </c>
      <c r="J76" s="5" t="s">
        <v>1954</v>
      </c>
      <c r="K76" s="5" t="s">
        <v>1955</v>
      </c>
    </row>
    <row r="77" customFormat="false" ht="15" hidden="false" customHeight="false" outlineLevel="0" collapsed="false">
      <c r="A77" s="5" t="s">
        <v>51</v>
      </c>
      <c r="B77" s="5" t="s">
        <v>1956</v>
      </c>
      <c r="C77" s="5" t="s">
        <v>1957</v>
      </c>
      <c r="D77" s="5" t="s">
        <v>1958</v>
      </c>
      <c r="E77" s="5" t="s">
        <v>1628</v>
      </c>
      <c r="F77" s="5" t="s">
        <v>104</v>
      </c>
      <c r="G77" s="5" t="s">
        <v>445</v>
      </c>
      <c r="H77" s="5" t="n">
        <v>5</v>
      </c>
      <c r="I77" s="5" t="s">
        <v>1709</v>
      </c>
      <c r="J77" s="5" t="s">
        <v>1959</v>
      </c>
      <c r="K77" s="5" t="s">
        <v>1960</v>
      </c>
    </row>
    <row r="78" customFormat="false" ht="15" hidden="false" customHeight="false" outlineLevel="0" collapsed="false">
      <c r="A78" s="5" t="s">
        <v>47</v>
      </c>
      <c r="B78" s="5" t="s">
        <v>601</v>
      </c>
      <c r="C78" s="5" t="s">
        <v>1961</v>
      </c>
      <c r="D78" s="5" t="s">
        <v>1962</v>
      </c>
      <c r="E78" s="5" t="s">
        <v>1628</v>
      </c>
      <c r="F78" s="5" t="s">
        <v>265</v>
      </c>
      <c r="G78" s="5" t="s">
        <v>345</v>
      </c>
      <c r="H78" s="5" t="n">
        <v>4</v>
      </c>
      <c r="I78" s="5" t="s">
        <v>1898</v>
      </c>
      <c r="J78" s="5" t="s">
        <v>602</v>
      </c>
      <c r="K78" s="5" t="s">
        <v>603</v>
      </c>
    </row>
    <row r="79" customFormat="false" ht="15" hidden="false" customHeight="false" outlineLevel="0" collapsed="false">
      <c r="A79" s="5" t="s">
        <v>43</v>
      </c>
      <c r="B79" s="5" t="s">
        <v>1963</v>
      </c>
      <c r="C79" s="5" t="s">
        <v>1964</v>
      </c>
      <c r="D79" s="5" t="s">
        <v>1965</v>
      </c>
      <c r="E79" s="5" t="s">
        <v>1628</v>
      </c>
      <c r="F79" s="5" t="s">
        <v>104</v>
      </c>
      <c r="G79" s="5" t="s">
        <v>450</v>
      </c>
      <c r="H79" s="5" t="n">
        <v>2</v>
      </c>
      <c r="I79" s="5" t="s">
        <v>1966</v>
      </c>
      <c r="J79" s="5" t="s">
        <v>1967</v>
      </c>
      <c r="K79" s="5" t="s">
        <v>1968</v>
      </c>
    </row>
    <row r="80" customFormat="false" ht="15" hidden="false" customHeight="false" outlineLevel="0" collapsed="false">
      <c r="A80" s="5" t="s">
        <v>51</v>
      </c>
      <c r="B80" s="5" t="s">
        <v>1969</v>
      </c>
      <c r="C80" s="5" t="s">
        <v>1970</v>
      </c>
      <c r="D80" s="5"/>
      <c r="E80" s="5" t="s">
        <v>1628</v>
      </c>
      <c r="F80" s="5" t="s">
        <v>265</v>
      </c>
      <c r="G80" s="5" t="s">
        <v>345</v>
      </c>
      <c r="H80" s="5" t="n">
        <v>3</v>
      </c>
      <c r="I80" s="5" t="s">
        <v>1971</v>
      </c>
      <c r="J80" s="5" t="s">
        <v>1972</v>
      </c>
      <c r="K80" s="5" t="s">
        <v>1973</v>
      </c>
    </row>
    <row r="81" customFormat="false" ht="15" hidden="false" customHeight="false" outlineLevel="0" collapsed="false">
      <c r="A81" s="5" t="s">
        <v>60</v>
      </c>
      <c r="B81" s="5" t="s">
        <v>1974</v>
      </c>
      <c r="C81" s="5" t="s">
        <v>1975</v>
      </c>
      <c r="D81" s="5" t="s">
        <v>1976</v>
      </c>
      <c r="E81" s="5" t="s">
        <v>1628</v>
      </c>
      <c r="F81" s="5" t="s">
        <v>265</v>
      </c>
      <c r="G81" s="5" t="s">
        <v>1646</v>
      </c>
      <c r="H81" s="5" t="n">
        <v>4</v>
      </c>
      <c r="I81" s="5" t="s">
        <v>1971</v>
      </c>
      <c r="J81" s="5" t="s">
        <v>1977</v>
      </c>
      <c r="K81" s="5" t="s">
        <v>1978</v>
      </c>
    </row>
    <row r="82" customFormat="false" ht="15" hidden="false" customHeight="false" outlineLevel="0" collapsed="false">
      <c r="A82" s="5" t="s">
        <v>60</v>
      </c>
      <c r="B82" s="5" t="s">
        <v>849</v>
      </c>
      <c r="C82" s="5" t="s">
        <v>1979</v>
      </c>
      <c r="D82" s="5" t="s">
        <v>1980</v>
      </c>
      <c r="E82" s="5" t="s">
        <v>1628</v>
      </c>
      <c r="F82" s="5" t="s">
        <v>265</v>
      </c>
      <c r="G82" s="5" t="s">
        <v>345</v>
      </c>
      <c r="H82" s="5" t="n">
        <v>2</v>
      </c>
      <c r="I82" s="5" t="s">
        <v>1919</v>
      </c>
      <c r="J82" s="5" t="s">
        <v>850</v>
      </c>
      <c r="K82" s="5" t="s">
        <v>851</v>
      </c>
    </row>
    <row r="83" customFormat="false" ht="15" hidden="false" customHeight="false" outlineLevel="0" collapsed="false">
      <c r="A83" s="5" t="s">
        <v>63</v>
      </c>
      <c r="B83" s="5" t="s">
        <v>1981</v>
      </c>
      <c r="C83" s="5" t="s">
        <v>1982</v>
      </c>
      <c r="D83" s="5" t="s">
        <v>1983</v>
      </c>
      <c r="E83" s="5" t="s">
        <v>1628</v>
      </c>
      <c r="F83" s="5" t="s">
        <v>104</v>
      </c>
      <c r="G83" s="5" t="s">
        <v>1984</v>
      </c>
      <c r="H83" s="5" t="n">
        <v>4</v>
      </c>
      <c r="I83" s="5" t="s">
        <v>1709</v>
      </c>
      <c r="J83" s="5" t="s">
        <v>1985</v>
      </c>
      <c r="K83" s="5" t="s">
        <v>1986</v>
      </c>
    </row>
    <row r="84" customFormat="false" ht="15" hidden="false" customHeight="false" outlineLevel="0" collapsed="false">
      <c r="A84" s="5" t="s">
        <v>95</v>
      </c>
      <c r="B84" s="5" t="s">
        <v>1987</v>
      </c>
      <c r="C84" s="5" t="s">
        <v>1988</v>
      </c>
      <c r="D84" s="5" t="s">
        <v>1989</v>
      </c>
      <c r="E84" s="5" t="s">
        <v>1628</v>
      </c>
      <c r="F84" s="5" t="s">
        <v>265</v>
      </c>
      <c r="G84" s="5" t="s">
        <v>345</v>
      </c>
      <c r="H84" s="5" t="n">
        <v>2</v>
      </c>
      <c r="I84" s="5" t="s">
        <v>1829</v>
      </c>
      <c r="J84" s="5" t="s">
        <v>1990</v>
      </c>
      <c r="K84" s="5" t="s">
        <v>1991</v>
      </c>
    </row>
    <row r="85" customFormat="false" ht="15" hidden="false" customHeight="false" outlineLevel="0" collapsed="false">
      <c r="A85" s="5" t="s">
        <v>54</v>
      </c>
      <c r="B85" s="5" t="s">
        <v>1992</v>
      </c>
      <c r="C85" s="5" t="s">
        <v>1993</v>
      </c>
      <c r="D85" s="5" t="s">
        <v>1994</v>
      </c>
      <c r="E85" s="5" t="s">
        <v>1628</v>
      </c>
      <c r="F85" s="5" t="s">
        <v>265</v>
      </c>
      <c r="G85" s="5" t="s">
        <v>345</v>
      </c>
      <c r="H85" s="5" t="n">
        <v>2</v>
      </c>
      <c r="I85" s="5" t="s">
        <v>1664</v>
      </c>
      <c r="J85" s="5" t="s">
        <v>1995</v>
      </c>
      <c r="K85" s="5" t="s">
        <v>1996</v>
      </c>
    </row>
    <row r="86" customFormat="false" ht="15" hidden="false" customHeight="false" outlineLevel="0" collapsed="false">
      <c r="A86" s="5" t="s">
        <v>95</v>
      </c>
      <c r="B86" s="5" t="s">
        <v>1997</v>
      </c>
      <c r="C86" s="5" t="s">
        <v>1998</v>
      </c>
      <c r="D86" s="5" t="s">
        <v>1999</v>
      </c>
      <c r="E86" s="5" t="s">
        <v>1628</v>
      </c>
      <c r="F86" s="5" t="s">
        <v>104</v>
      </c>
      <c r="G86" s="5"/>
      <c r="H86" s="5" t="n">
        <v>2</v>
      </c>
      <c r="I86" s="5" t="s">
        <v>1635</v>
      </c>
      <c r="J86" s="5" t="s">
        <v>2000</v>
      </c>
      <c r="K86" s="5" t="s">
        <v>2001</v>
      </c>
    </row>
    <row r="87" customFormat="false" ht="15" hidden="false" customHeight="false" outlineLevel="0" collapsed="false">
      <c r="A87" s="5" t="s">
        <v>63</v>
      </c>
      <c r="B87" s="5" t="s">
        <v>2002</v>
      </c>
      <c r="C87" s="5" t="s">
        <v>2003</v>
      </c>
      <c r="D87" s="5" t="s">
        <v>2004</v>
      </c>
      <c r="E87" s="5" t="s">
        <v>1628</v>
      </c>
      <c r="F87" s="5" t="s">
        <v>265</v>
      </c>
      <c r="G87" s="5" t="s">
        <v>345</v>
      </c>
      <c r="H87" s="5" t="n">
        <v>5</v>
      </c>
      <c r="I87" s="5" t="s">
        <v>1709</v>
      </c>
      <c r="J87" s="5" t="s">
        <v>2005</v>
      </c>
      <c r="K87" s="5" t="s">
        <v>2006</v>
      </c>
    </row>
    <row r="88" customFormat="false" ht="15" hidden="false" customHeight="false" outlineLevel="0" collapsed="false">
      <c r="A88" s="5" t="s">
        <v>86</v>
      </c>
      <c r="B88" s="5" t="s">
        <v>2007</v>
      </c>
      <c r="C88" s="5" t="s">
        <v>2008</v>
      </c>
      <c r="D88" s="5" t="s">
        <v>2009</v>
      </c>
      <c r="E88" s="5" t="s">
        <v>1628</v>
      </c>
      <c r="F88" s="5" t="s">
        <v>265</v>
      </c>
      <c r="G88" s="5" t="s">
        <v>345</v>
      </c>
      <c r="H88" s="5" t="n">
        <v>10</v>
      </c>
      <c r="I88" s="5" t="s">
        <v>1664</v>
      </c>
      <c r="J88" s="5" t="s">
        <v>2010</v>
      </c>
      <c r="K88" s="5" t="s">
        <v>2011</v>
      </c>
    </row>
    <row r="89" customFormat="false" ht="15" hidden="false" customHeight="false" outlineLevel="0" collapsed="false">
      <c r="A89" s="5" t="s">
        <v>51</v>
      </c>
      <c r="B89" s="5" t="s">
        <v>2012</v>
      </c>
      <c r="C89" s="5" t="s">
        <v>2013</v>
      </c>
      <c r="D89" s="5" t="s">
        <v>2014</v>
      </c>
      <c r="E89" s="5" t="s">
        <v>1628</v>
      </c>
      <c r="F89" s="5" t="s">
        <v>265</v>
      </c>
      <c r="G89" s="5" t="s">
        <v>382</v>
      </c>
      <c r="H89" s="5" t="n">
        <v>3</v>
      </c>
      <c r="I89" s="5" t="s">
        <v>1664</v>
      </c>
      <c r="J89" s="5" t="s">
        <v>2015</v>
      </c>
      <c r="K89" s="5" t="s">
        <v>2016</v>
      </c>
    </row>
    <row r="90" customFormat="false" ht="15" hidden="false" customHeight="false" outlineLevel="0" collapsed="false">
      <c r="A90" s="5" t="s">
        <v>66</v>
      </c>
      <c r="B90" s="5" t="s">
        <v>960</v>
      </c>
      <c r="C90" s="5" t="s">
        <v>2017</v>
      </c>
      <c r="D90" s="5" t="s">
        <v>2018</v>
      </c>
      <c r="E90" s="5" t="s">
        <v>1628</v>
      </c>
      <c r="F90" s="5" t="s">
        <v>265</v>
      </c>
      <c r="G90" s="5" t="s">
        <v>345</v>
      </c>
      <c r="H90" s="5" t="n">
        <v>6</v>
      </c>
      <c r="I90" s="5" t="s">
        <v>1911</v>
      </c>
      <c r="J90" s="5" t="s">
        <v>961</v>
      </c>
      <c r="K90" s="5" t="s">
        <v>962</v>
      </c>
    </row>
    <row r="91" customFormat="false" ht="15" hidden="false" customHeight="false" outlineLevel="0" collapsed="false">
      <c r="A91" s="5" t="s">
        <v>101</v>
      </c>
      <c r="B91" s="5" t="s">
        <v>1598</v>
      </c>
      <c r="C91" s="5" t="s">
        <v>2019</v>
      </c>
      <c r="D91" s="5" t="s">
        <v>2020</v>
      </c>
      <c r="E91" s="5" t="s">
        <v>1628</v>
      </c>
      <c r="F91" s="5" t="s">
        <v>265</v>
      </c>
      <c r="G91" s="5" t="s">
        <v>436</v>
      </c>
      <c r="H91" s="5" t="n">
        <v>3</v>
      </c>
      <c r="I91" s="5" t="s">
        <v>1836</v>
      </c>
      <c r="J91" s="5" t="s">
        <v>1599</v>
      </c>
      <c r="K91" s="5" t="s">
        <v>1600</v>
      </c>
    </row>
    <row r="92" customFormat="false" ht="15" hidden="false" customHeight="false" outlineLevel="0" collapsed="false">
      <c r="A92" s="5" t="s">
        <v>51</v>
      </c>
      <c r="B92" s="5" t="s">
        <v>2021</v>
      </c>
      <c r="C92" s="5" t="s">
        <v>2022</v>
      </c>
      <c r="D92" s="5" t="s">
        <v>2023</v>
      </c>
      <c r="E92" s="5" t="s">
        <v>1628</v>
      </c>
      <c r="F92" s="5" t="s">
        <v>265</v>
      </c>
      <c r="G92" s="5" t="s">
        <v>345</v>
      </c>
      <c r="H92" s="5" t="n">
        <v>3</v>
      </c>
      <c r="I92" s="5" t="s">
        <v>1709</v>
      </c>
      <c r="J92" s="5" t="s">
        <v>2024</v>
      </c>
      <c r="K92" s="5" t="s">
        <v>2025</v>
      </c>
    </row>
    <row r="93" customFormat="false" ht="15" hidden="false" customHeight="false" outlineLevel="0" collapsed="false">
      <c r="A93" s="5" t="s">
        <v>51</v>
      </c>
      <c r="B93" s="5" t="s">
        <v>684</v>
      </c>
      <c r="C93" s="5" t="s">
        <v>2026</v>
      </c>
      <c r="D93" s="5" t="s">
        <v>2027</v>
      </c>
      <c r="E93" s="5" t="s">
        <v>1628</v>
      </c>
      <c r="F93" s="5" t="s">
        <v>104</v>
      </c>
      <c r="G93" s="5" t="s">
        <v>685</v>
      </c>
      <c r="H93" s="5" t="n">
        <v>2</v>
      </c>
      <c r="I93" s="5" t="s">
        <v>1709</v>
      </c>
      <c r="J93" s="5" t="s">
        <v>686</v>
      </c>
      <c r="K93" s="5" t="s">
        <v>687</v>
      </c>
    </row>
    <row r="94" customFormat="false" ht="15" hidden="false" customHeight="false" outlineLevel="0" collapsed="false">
      <c r="A94" s="5" t="s">
        <v>95</v>
      </c>
      <c r="B94" s="5" t="s">
        <v>1214</v>
      </c>
      <c r="C94" s="5" t="s">
        <v>2028</v>
      </c>
      <c r="D94" s="5" t="s">
        <v>2029</v>
      </c>
      <c r="E94" s="5" t="s">
        <v>1628</v>
      </c>
      <c r="F94" s="5" t="s">
        <v>265</v>
      </c>
      <c r="G94" s="5" t="s">
        <v>436</v>
      </c>
      <c r="H94" s="5" t="n">
        <v>3</v>
      </c>
      <c r="I94" s="5" t="s">
        <v>1927</v>
      </c>
      <c r="J94" s="5" t="s">
        <v>1503</v>
      </c>
      <c r="K94" s="5" t="s">
        <v>1504</v>
      </c>
    </row>
    <row r="95" customFormat="false" ht="15" hidden="false" customHeight="false" outlineLevel="0" collapsed="false">
      <c r="A95" s="5" t="s">
        <v>47</v>
      </c>
      <c r="B95" s="5" t="s">
        <v>2030</v>
      </c>
      <c r="C95" s="5" t="s">
        <v>2031</v>
      </c>
      <c r="D95" s="5" t="s">
        <v>2032</v>
      </c>
      <c r="E95" s="5" t="s">
        <v>1628</v>
      </c>
      <c r="F95" s="5" t="s">
        <v>265</v>
      </c>
      <c r="G95" s="5" t="s">
        <v>436</v>
      </c>
      <c r="H95" s="5" t="n">
        <v>3</v>
      </c>
      <c r="I95" s="5" t="s">
        <v>1670</v>
      </c>
      <c r="J95" s="5" t="s">
        <v>2033</v>
      </c>
      <c r="K95" s="5" t="s">
        <v>2034</v>
      </c>
    </row>
    <row r="96" customFormat="false" ht="15" hidden="false" customHeight="false" outlineLevel="0" collapsed="false">
      <c r="A96" s="5" t="s">
        <v>47</v>
      </c>
      <c r="B96" s="5" t="s">
        <v>2035</v>
      </c>
      <c r="C96" s="5" t="s">
        <v>2036</v>
      </c>
      <c r="D96" s="5" t="s">
        <v>2037</v>
      </c>
      <c r="E96" s="5" t="s">
        <v>1628</v>
      </c>
      <c r="F96" s="5" t="s">
        <v>265</v>
      </c>
      <c r="G96" s="5" t="s">
        <v>345</v>
      </c>
      <c r="H96" s="5" t="n">
        <v>2</v>
      </c>
      <c r="I96" s="5" t="s">
        <v>1670</v>
      </c>
      <c r="J96" s="5" t="s">
        <v>2038</v>
      </c>
      <c r="K96" s="5" t="s">
        <v>2039</v>
      </c>
    </row>
    <row r="97" customFormat="false" ht="15" hidden="false" customHeight="false" outlineLevel="0" collapsed="false">
      <c r="A97" s="5" t="s">
        <v>83</v>
      </c>
      <c r="B97" s="5" t="s">
        <v>2040</v>
      </c>
      <c r="C97" s="5" t="s">
        <v>2041</v>
      </c>
      <c r="D97" s="5" t="s">
        <v>2042</v>
      </c>
      <c r="E97" s="5" t="s">
        <v>1628</v>
      </c>
      <c r="F97" s="5" t="s">
        <v>265</v>
      </c>
      <c r="G97" s="5" t="s">
        <v>345</v>
      </c>
      <c r="H97" s="5" t="n">
        <v>2</v>
      </c>
      <c r="I97" s="5" t="s">
        <v>1876</v>
      </c>
      <c r="J97" s="5" t="s">
        <v>2043</v>
      </c>
      <c r="K97" s="5" t="s">
        <v>2044</v>
      </c>
    </row>
    <row r="98" customFormat="false" ht="15" hidden="false" customHeight="false" outlineLevel="0" collapsed="false">
      <c r="A98" s="5" t="s">
        <v>46</v>
      </c>
      <c r="B98" s="5" t="s">
        <v>2045</v>
      </c>
      <c r="C98" s="5" t="s">
        <v>2046</v>
      </c>
      <c r="D98" s="5" t="s">
        <v>2047</v>
      </c>
      <c r="E98" s="5" t="s">
        <v>1628</v>
      </c>
      <c r="F98" s="5" t="s">
        <v>104</v>
      </c>
      <c r="G98" s="5" t="s">
        <v>459</v>
      </c>
      <c r="H98" s="5" t="n">
        <v>4</v>
      </c>
      <c r="I98" s="5" t="s">
        <v>1709</v>
      </c>
      <c r="J98" s="5" t="s">
        <v>2048</v>
      </c>
      <c r="K98" s="5" t="s">
        <v>2049</v>
      </c>
    </row>
    <row r="99" customFormat="false" ht="15" hidden="false" customHeight="false" outlineLevel="0" collapsed="false">
      <c r="A99" s="5" t="s">
        <v>92</v>
      </c>
      <c r="B99" s="5" t="s">
        <v>2050</v>
      </c>
      <c r="C99" s="5" t="s">
        <v>2051</v>
      </c>
      <c r="D99" s="5" t="s">
        <v>2052</v>
      </c>
      <c r="E99" s="5" t="s">
        <v>1628</v>
      </c>
      <c r="F99" s="5" t="s">
        <v>265</v>
      </c>
      <c r="G99" s="5" t="s">
        <v>2053</v>
      </c>
      <c r="H99" s="5" t="n">
        <v>3</v>
      </c>
      <c r="I99" s="5" t="s">
        <v>1670</v>
      </c>
      <c r="J99" s="5" t="s">
        <v>2054</v>
      </c>
      <c r="K99" s="5" t="s">
        <v>2055</v>
      </c>
    </row>
    <row r="100" customFormat="false" ht="15" hidden="false" customHeight="false" outlineLevel="0" collapsed="false">
      <c r="A100" s="5" t="s">
        <v>43</v>
      </c>
      <c r="B100" s="5" t="s">
        <v>2056</v>
      </c>
      <c r="C100" s="5" t="s">
        <v>2057</v>
      </c>
      <c r="D100" s="5" t="s">
        <v>2058</v>
      </c>
      <c r="E100" s="5" t="s">
        <v>1628</v>
      </c>
      <c r="F100" s="5" t="s">
        <v>265</v>
      </c>
      <c r="G100" s="5" t="s">
        <v>345</v>
      </c>
      <c r="H100" s="5" t="n">
        <v>7</v>
      </c>
      <c r="I100" s="5" t="s">
        <v>1647</v>
      </c>
      <c r="J100" s="5" t="s">
        <v>2059</v>
      </c>
      <c r="K100" s="5" t="s">
        <v>2060</v>
      </c>
    </row>
    <row r="101" customFormat="false" ht="15" hidden="false" customHeight="false" outlineLevel="0" collapsed="false">
      <c r="A101" s="5" t="s">
        <v>95</v>
      </c>
      <c r="B101" s="5" t="s">
        <v>2061</v>
      </c>
      <c r="C101" s="5" t="s">
        <v>2062</v>
      </c>
      <c r="D101" s="5" t="s">
        <v>2063</v>
      </c>
      <c r="E101" s="5" t="s">
        <v>1628</v>
      </c>
      <c r="F101" s="5" t="s">
        <v>265</v>
      </c>
      <c r="G101" s="5" t="s">
        <v>345</v>
      </c>
      <c r="H101" s="5" t="n">
        <v>3</v>
      </c>
      <c r="I101" s="5" t="s">
        <v>1635</v>
      </c>
      <c r="J101" s="5" t="s">
        <v>2064</v>
      </c>
      <c r="K101" s="5" t="s">
        <v>2065</v>
      </c>
    </row>
    <row r="102" customFormat="false" ht="15" hidden="false" customHeight="false" outlineLevel="0" collapsed="false">
      <c r="A102" s="5" t="s">
        <v>63</v>
      </c>
      <c r="B102" s="5" t="s">
        <v>900</v>
      </c>
      <c r="C102" s="5" t="s">
        <v>2066</v>
      </c>
      <c r="D102" s="5" t="s">
        <v>2067</v>
      </c>
      <c r="E102" s="5" t="s">
        <v>1628</v>
      </c>
      <c r="F102" s="5" t="s">
        <v>265</v>
      </c>
      <c r="G102" s="5" t="s">
        <v>345</v>
      </c>
      <c r="H102" s="5" t="n">
        <v>4</v>
      </c>
      <c r="I102" s="5" t="s">
        <v>1709</v>
      </c>
      <c r="J102" s="5" t="s">
        <v>901</v>
      </c>
      <c r="K102" s="5" t="s">
        <v>902</v>
      </c>
    </row>
    <row r="103" customFormat="false" ht="15" hidden="false" customHeight="false" outlineLevel="0" collapsed="false">
      <c r="A103" s="5" t="s">
        <v>60</v>
      </c>
      <c r="B103" s="5" t="s">
        <v>853</v>
      </c>
      <c r="C103" s="5" t="s">
        <v>2068</v>
      </c>
      <c r="D103" s="5" t="s">
        <v>2069</v>
      </c>
      <c r="E103" s="5" t="s">
        <v>1628</v>
      </c>
      <c r="F103" s="5" t="s">
        <v>265</v>
      </c>
      <c r="G103" s="5" t="s">
        <v>345</v>
      </c>
      <c r="H103" s="5" t="n">
        <v>6</v>
      </c>
      <c r="I103" s="5" t="s">
        <v>1709</v>
      </c>
      <c r="J103" s="5" t="s">
        <v>854</v>
      </c>
      <c r="K103" s="5" t="s">
        <v>855</v>
      </c>
    </row>
    <row r="104" customFormat="false" ht="15" hidden="false" customHeight="false" outlineLevel="0" collapsed="false">
      <c r="A104" s="9" t="s">
        <v>75</v>
      </c>
      <c r="B104" s="9" t="s">
        <v>1128</v>
      </c>
      <c r="C104" s="9" t="s">
        <v>2070</v>
      </c>
      <c r="D104" s="9" t="s">
        <v>2071</v>
      </c>
      <c r="E104" s="9" t="s">
        <v>1628</v>
      </c>
      <c r="F104" s="9" t="s">
        <v>190</v>
      </c>
      <c r="G104" s="9" t="s">
        <v>695</v>
      </c>
      <c r="H104" s="9" t="n">
        <v>4</v>
      </c>
      <c r="I104" s="9" t="s">
        <v>1664</v>
      </c>
      <c r="J104" s="9" t="s">
        <v>1129</v>
      </c>
      <c r="K104" s="9" t="s">
        <v>1130</v>
      </c>
    </row>
    <row r="105" customFormat="false" ht="15" hidden="false" customHeight="false" outlineLevel="0" collapsed="false">
      <c r="A105" s="5" t="s">
        <v>80</v>
      </c>
      <c r="B105" s="5" t="s">
        <v>2072</v>
      </c>
      <c r="C105" s="5" t="s">
        <v>2073</v>
      </c>
      <c r="D105" s="5" t="s">
        <v>2074</v>
      </c>
      <c r="E105" s="5" t="s">
        <v>1628</v>
      </c>
      <c r="F105" s="5" t="s">
        <v>265</v>
      </c>
      <c r="G105" s="5" t="s">
        <v>345</v>
      </c>
      <c r="H105" s="5"/>
      <c r="I105" s="5" t="s">
        <v>1647</v>
      </c>
      <c r="J105" s="5" t="s">
        <v>2075</v>
      </c>
      <c r="K105" s="5" t="s">
        <v>2076</v>
      </c>
    </row>
    <row r="106" customFormat="false" ht="15" hidden="false" customHeight="false" outlineLevel="0" collapsed="false">
      <c r="A106" s="5" t="s">
        <v>80</v>
      </c>
      <c r="B106" s="5" t="s">
        <v>1218</v>
      </c>
      <c r="C106" s="5" t="s">
        <v>2077</v>
      </c>
      <c r="D106" s="5" t="s">
        <v>2078</v>
      </c>
      <c r="E106" s="5" t="s">
        <v>1628</v>
      </c>
      <c r="F106" s="5" t="s">
        <v>104</v>
      </c>
      <c r="G106" s="5" t="s">
        <v>445</v>
      </c>
      <c r="H106" s="5" t="n">
        <v>5</v>
      </c>
      <c r="I106" s="5" t="s">
        <v>1647</v>
      </c>
      <c r="J106" s="5" t="s">
        <v>1219</v>
      </c>
      <c r="K106" s="5" t="s">
        <v>1220</v>
      </c>
    </row>
    <row r="107" customFormat="false" ht="15" hidden="false" customHeight="false" outlineLevel="0" collapsed="false">
      <c r="A107" s="5" t="s">
        <v>95</v>
      </c>
      <c r="B107" s="5" t="s">
        <v>2079</v>
      </c>
      <c r="C107" s="5" t="s">
        <v>2080</v>
      </c>
      <c r="D107" s="5" t="s">
        <v>2081</v>
      </c>
      <c r="E107" s="5" t="s">
        <v>1628</v>
      </c>
      <c r="F107" s="5" t="s">
        <v>265</v>
      </c>
      <c r="G107" s="5" t="s">
        <v>345</v>
      </c>
      <c r="H107" s="5" t="n">
        <v>2</v>
      </c>
      <c r="I107" s="5" t="s">
        <v>1836</v>
      </c>
      <c r="J107" s="5" t="s">
        <v>2082</v>
      </c>
      <c r="K107" s="5" t="s">
        <v>2083</v>
      </c>
    </row>
    <row r="108" customFormat="false" ht="15" hidden="false" customHeight="false" outlineLevel="0" collapsed="false">
      <c r="A108" s="5" t="s">
        <v>43</v>
      </c>
      <c r="B108" s="5" t="s">
        <v>2084</v>
      </c>
      <c r="C108" s="5" t="s">
        <v>2085</v>
      </c>
      <c r="D108" s="5" t="s">
        <v>2086</v>
      </c>
      <c r="E108" s="5" t="s">
        <v>1628</v>
      </c>
      <c r="F108" s="5" t="s">
        <v>265</v>
      </c>
      <c r="G108" s="5" t="s">
        <v>345</v>
      </c>
      <c r="H108" s="5" t="n">
        <v>7</v>
      </c>
      <c r="I108" s="5" t="s">
        <v>2087</v>
      </c>
      <c r="J108" s="5" t="s">
        <v>2088</v>
      </c>
      <c r="K108" s="5" t="s">
        <v>2089</v>
      </c>
    </row>
    <row r="109" customFormat="false" ht="15" hidden="false" customHeight="false" outlineLevel="0" collapsed="false">
      <c r="A109" s="5" t="s">
        <v>69</v>
      </c>
      <c r="B109" s="5" t="s">
        <v>2090</v>
      </c>
      <c r="C109" s="5" t="s">
        <v>2091</v>
      </c>
      <c r="D109" s="5" t="s">
        <v>2092</v>
      </c>
      <c r="E109" s="5" t="s">
        <v>1628</v>
      </c>
      <c r="F109" s="5" t="s">
        <v>265</v>
      </c>
      <c r="G109" s="5" t="s">
        <v>345</v>
      </c>
      <c r="H109" s="5" t="n">
        <v>2</v>
      </c>
      <c r="I109" s="5" t="s">
        <v>1664</v>
      </c>
      <c r="J109" s="5" t="s">
        <v>2093</v>
      </c>
      <c r="K109" s="5" t="s">
        <v>2094</v>
      </c>
    </row>
    <row r="110" customFormat="false" ht="15" hidden="false" customHeight="false" outlineLevel="0" collapsed="false">
      <c r="A110" s="9" t="s">
        <v>51</v>
      </c>
      <c r="B110" s="9" t="s">
        <v>694</v>
      </c>
      <c r="C110" s="9" t="s">
        <v>2095</v>
      </c>
      <c r="D110" s="9" t="s">
        <v>2096</v>
      </c>
      <c r="E110" s="9" t="s">
        <v>1628</v>
      </c>
      <c r="F110" s="9" t="s">
        <v>190</v>
      </c>
      <c r="G110" s="9" t="s">
        <v>695</v>
      </c>
      <c r="H110" s="9" t="n">
        <v>7</v>
      </c>
      <c r="I110" s="9" t="s">
        <v>1709</v>
      </c>
      <c r="J110" s="9" t="s">
        <v>696</v>
      </c>
      <c r="K110" s="9" t="s">
        <v>697</v>
      </c>
    </row>
    <row r="111" customFormat="false" ht="15" hidden="false" customHeight="false" outlineLevel="0" collapsed="false">
      <c r="A111" s="5" t="s">
        <v>60</v>
      </c>
      <c r="B111" s="5" t="s">
        <v>2097</v>
      </c>
      <c r="C111" s="5" t="s">
        <v>2098</v>
      </c>
      <c r="D111" s="5" t="s">
        <v>2099</v>
      </c>
      <c r="E111" s="5" t="s">
        <v>1628</v>
      </c>
      <c r="F111" s="5" t="s">
        <v>265</v>
      </c>
      <c r="G111" s="5" t="s">
        <v>775</v>
      </c>
      <c r="H111" s="5" t="n">
        <v>2</v>
      </c>
      <c r="I111" s="5" t="s">
        <v>1760</v>
      </c>
      <c r="J111" s="5" t="s">
        <v>2100</v>
      </c>
      <c r="K111" s="5" t="s">
        <v>2101</v>
      </c>
    </row>
    <row r="112" customFormat="false" ht="15" hidden="false" customHeight="false" outlineLevel="0" collapsed="false">
      <c r="A112" s="5" t="s">
        <v>47</v>
      </c>
      <c r="B112" s="5" t="s">
        <v>613</v>
      </c>
      <c r="C112" s="5" t="s">
        <v>2102</v>
      </c>
      <c r="D112" s="5" t="s">
        <v>2103</v>
      </c>
      <c r="E112" s="5" t="s">
        <v>1628</v>
      </c>
      <c r="F112" s="5" t="s">
        <v>104</v>
      </c>
      <c r="G112" s="5"/>
      <c r="H112" s="5" t="n">
        <v>2</v>
      </c>
      <c r="I112" s="5" t="s">
        <v>1670</v>
      </c>
      <c r="J112" s="5" t="s">
        <v>614</v>
      </c>
      <c r="K112" s="5" t="s">
        <v>615</v>
      </c>
    </row>
    <row r="113" customFormat="false" ht="15" hidden="false" customHeight="false" outlineLevel="0" collapsed="false">
      <c r="A113" s="5" t="s">
        <v>101</v>
      </c>
      <c r="B113" s="5" t="s">
        <v>1602</v>
      </c>
      <c r="C113" s="5" t="s">
        <v>2104</v>
      </c>
      <c r="D113" s="5" t="s">
        <v>2105</v>
      </c>
      <c r="E113" s="5" t="s">
        <v>1628</v>
      </c>
      <c r="F113" s="5" t="s">
        <v>265</v>
      </c>
      <c r="G113" s="5" t="s">
        <v>345</v>
      </c>
      <c r="H113" s="5"/>
      <c r="I113" s="5" t="s">
        <v>1664</v>
      </c>
      <c r="J113" s="5" t="s">
        <v>1603</v>
      </c>
      <c r="K113" s="5" t="s">
        <v>1604</v>
      </c>
    </row>
    <row r="114" customFormat="false" ht="15" hidden="false" customHeight="false" outlineLevel="0" collapsed="false">
      <c r="A114" s="5" t="s">
        <v>47</v>
      </c>
      <c r="B114" s="5" t="s">
        <v>2106</v>
      </c>
      <c r="C114" s="5" t="s">
        <v>2107</v>
      </c>
      <c r="D114" s="5" t="s">
        <v>2108</v>
      </c>
      <c r="E114" s="5" t="s">
        <v>1628</v>
      </c>
      <c r="F114" s="5" t="s">
        <v>265</v>
      </c>
      <c r="G114" s="5" t="s">
        <v>436</v>
      </c>
      <c r="H114" s="5" t="n">
        <v>3</v>
      </c>
      <c r="I114" s="5" t="s">
        <v>1670</v>
      </c>
      <c r="J114" s="5" t="s">
        <v>2109</v>
      </c>
      <c r="K114" s="5" t="s">
        <v>2110</v>
      </c>
    </row>
    <row r="115" customFormat="false" ht="15" hidden="false" customHeight="false" outlineLevel="0" collapsed="false">
      <c r="A115" s="5" t="s">
        <v>69</v>
      </c>
      <c r="B115" s="5" t="s">
        <v>2111</v>
      </c>
      <c r="C115" s="5" t="s">
        <v>2112</v>
      </c>
      <c r="D115" s="5" t="s">
        <v>2113</v>
      </c>
      <c r="E115" s="5" t="s">
        <v>1628</v>
      </c>
      <c r="F115" s="5" t="s">
        <v>265</v>
      </c>
      <c r="G115" s="5" t="s">
        <v>345</v>
      </c>
      <c r="H115" s="5" t="n">
        <v>3</v>
      </c>
      <c r="I115" s="5" t="s">
        <v>1664</v>
      </c>
      <c r="J115" s="5" t="s">
        <v>2114</v>
      </c>
      <c r="K115" s="5" t="s">
        <v>2115</v>
      </c>
    </row>
    <row r="116" customFormat="false" ht="15" hidden="false" customHeight="false" outlineLevel="0" collapsed="false">
      <c r="A116" s="5" t="s">
        <v>69</v>
      </c>
      <c r="B116" s="5" t="s">
        <v>2116</v>
      </c>
      <c r="C116" s="5" t="s">
        <v>2117</v>
      </c>
      <c r="D116" s="5" t="s">
        <v>2118</v>
      </c>
      <c r="E116" s="5" t="s">
        <v>1628</v>
      </c>
      <c r="F116" s="5" t="s">
        <v>265</v>
      </c>
      <c r="G116" s="5" t="s">
        <v>345</v>
      </c>
      <c r="H116" s="5" t="n">
        <v>5</v>
      </c>
      <c r="I116" s="5" t="s">
        <v>1656</v>
      </c>
      <c r="J116" s="5" t="s">
        <v>2119</v>
      </c>
      <c r="K116" s="5" t="s">
        <v>2120</v>
      </c>
    </row>
    <row r="117" customFormat="false" ht="15" hidden="false" customHeight="false" outlineLevel="0" collapsed="false">
      <c r="A117" s="5" t="s">
        <v>89</v>
      </c>
      <c r="B117" s="5" t="s">
        <v>2121</v>
      </c>
      <c r="C117" s="5" t="s">
        <v>2122</v>
      </c>
      <c r="D117" s="5" t="s">
        <v>2123</v>
      </c>
      <c r="E117" s="5" t="s">
        <v>1628</v>
      </c>
      <c r="F117" s="5" t="s">
        <v>265</v>
      </c>
      <c r="G117" s="5" t="s">
        <v>436</v>
      </c>
      <c r="H117" s="5" t="n">
        <v>7</v>
      </c>
      <c r="I117" s="5" t="s">
        <v>1694</v>
      </c>
      <c r="J117" s="5" t="s">
        <v>2124</v>
      </c>
      <c r="K117" s="5" t="s">
        <v>2125</v>
      </c>
    </row>
    <row r="118" customFormat="false" ht="15" hidden="false" customHeight="false" outlineLevel="0" collapsed="false">
      <c r="A118" s="5" t="s">
        <v>72</v>
      </c>
      <c r="B118" s="5" t="s">
        <v>1093</v>
      </c>
      <c r="C118" s="5" t="s">
        <v>2126</v>
      </c>
      <c r="D118" s="5" t="s">
        <v>2127</v>
      </c>
      <c r="E118" s="5" t="s">
        <v>1628</v>
      </c>
      <c r="F118" s="5" t="s">
        <v>265</v>
      </c>
      <c r="G118" s="5" t="s">
        <v>345</v>
      </c>
      <c r="H118" s="5" t="n">
        <v>6</v>
      </c>
      <c r="I118" s="5" t="s">
        <v>1656</v>
      </c>
      <c r="J118" s="5" t="s">
        <v>1094</v>
      </c>
      <c r="K118" s="5" t="s">
        <v>1095</v>
      </c>
    </row>
    <row r="119" customFormat="false" ht="15" hidden="false" customHeight="false" outlineLevel="0" collapsed="false">
      <c r="A119" s="5" t="s">
        <v>92</v>
      </c>
      <c r="B119" s="5" t="s">
        <v>1479</v>
      </c>
      <c r="C119" s="5" t="s">
        <v>2128</v>
      </c>
      <c r="D119" s="5" t="s">
        <v>2129</v>
      </c>
      <c r="E119" s="5" t="s">
        <v>1628</v>
      </c>
      <c r="F119" s="5" t="s">
        <v>265</v>
      </c>
      <c r="G119" s="5" t="s">
        <v>345</v>
      </c>
      <c r="H119" s="5" t="n">
        <v>2</v>
      </c>
      <c r="I119" s="5" t="s">
        <v>1709</v>
      </c>
      <c r="J119" s="5" t="s">
        <v>1480</v>
      </c>
      <c r="K119" s="5" t="s">
        <v>1481</v>
      </c>
    </row>
    <row r="120" customFormat="false" ht="15" hidden="false" customHeight="false" outlineLevel="0" collapsed="false">
      <c r="A120" s="5" t="s">
        <v>69</v>
      </c>
      <c r="B120" s="5" t="s">
        <v>2130</v>
      </c>
      <c r="C120" s="5" t="s">
        <v>2131</v>
      </c>
      <c r="D120" s="5" t="s">
        <v>2132</v>
      </c>
      <c r="E120" s="5" t="s">
        <v>1628</v>
      </c>
      <c r="F120" s="5" t="s">
        <v>265</v>
      </c>
      <c r="G120" s="5" t="s">
        <v>436</v>
      </c>
      <c r="H120" s="5" t="n">
        <v>3</v>
      </c>
      <c r="I120" s="5" t="s">
        <v>1709</v>
      </c>
      <c r="J120" s="5" t="s">
        <v>2133</v>
      </c>
      <c r="K120" s="5" t="s">
        <v>2134</v>
      </c>
    </row>
    <row r="121" customFormat="false" ht="15" hidden="false" customHeight="false" outlineLevel="0" collapsed="false">
      <c r="A121" s="5" t="s">
        <v>89</v>
      </c>
      <c r="B121" s="5" t="s">
        <v>2135</v>
      </c>
      <c r="C121" s="5" t="s">
        <v>2136</v>
      </c>
      <c r="D121" s="5" t="s">
        <v>2137</v>
      </c>
      <c r="E121" s="5" t="s">
        <v>1628</v>
      </c>
      <c r="F121" s="5" t="s">
        <v>265</v>
      </c>
      <c r="G121" s="5" t="s">
        <v>345</v>
      </c>
      <c r="H121" s="5" t="n">
        <v>2</v>
      </c>
      <c r="I121" s="5" t="s">
        <v>1847</v>
      </c>
      <c r="J121" s="5" t="s">
        <v>2138</v>
      </c>
      <c r="K121" s="5" t="s">
        <v>2139</v>
      </c>
    </row>
    <row r="122" customFormat="false" ht="15" hidden="false" customHeight="false" outlineLevel="0" collapsed="false">
      <c r="A122" s="5" t="s">
        <v>95</v>
      </c>
      <c r="B122" s="5" t="s">
        <v>2140</v>
      </c>
      <c r="C122" s="5" t="s">
        <v>2141</v>
      </c>
      <c r="D122" s="5" t="s">
        <v>2142</v>
      </c>
      <c r="E122" s="5" t="s">
        <v>1628</v>
      </c>
      <c r="F122" s="5" t="s">
        <v>265</v>
      </c>
      <c r="G122" s="5" t="s">
        <v>345</v>
      </c>
      <c r="H122" s="5" t="n">
        <v>6</v>
      </c>
      <c r="I122" s="5" t="s">
        <v>1635</v>
      </c>
      <c r="J122" s="5" t="s">
        <v>2143</v>
      </c>
      <c r="K122" s="5" t="s">
        <v>2144</v>
      </c>
    </row>
    <row r="123" customFormat="false" ht="15" hidden="false" customHeight="false" outlineLevel="0" collapsed="false">
      <c r="A123" s="5" t="s">
        <v>43</v>
      </c>
      <c r="B123" s="5" t="s">
        <v>2145</v>
      </c>
      <c r="C123" s="5" t="s">
        <v>2146</v>
      </c>
      <c r="D123" s="5" t="s">
        <v>2147</v>
      </c>
      <c r="E123" s="5" t="s">
        <v>1628</v>
      </c>
      <c r="F123" s="5" t="s">
        <v>265</v>
      </c>
      <c r="G123" s="5" t="s">
        <v>345</v>
      </c>
      <c r="H123" s="5" t="n">
        <v>14</v>
      </c>
      <c r="I123" s="5" t="s">
        <v>1709</v>
      </c>
      <c r="J123" s="5" t="s">
        <v>2148</v>
      </c>
      <c r="K123" s="5" t="s">
        <v>2149</v>
      </c>
    </row>
    <row r="124" customFormat="false" ht="15" hidden="false" customHeight="false" outlineLevel="0" collapsed="false">
      <c r="A124" s="5" t="s">
        <v>101</v>
      </c>
      <c r="B124" s="5" t="s">
        <v>2150</v>
      </c>
      <c r="C124" s="5" t="s">
        <v>2151</v>
      </c>
      <c r="D124" s="5" t="s">
        <v>2152</v>
      </c>
      <c r="E124" s="5" t="s">
        <v>1628</v>
      </c>
      <c r="F124" s="5" t="s">
        <v>265</v>
      </c>
      <c r="G124" s="5" t="s">
        <v>345</v>
      </c>
      <c r="H124" s="5" t="n">
        <v>3</v>
      </c>
      <c r="I124" s="5" t="s">
        <v>1664</v>
      </c>
      <c r="J124" s="5" t="s">
        <v>2153</v>
      </c>
      <c r="K124" s="5" t="s">
        <v>2154</v>
      </c>
    </row>
    <row r="125" customFormat="false" ht="15" hidden="false" customHeight="false" outlineLevel="0" collapsed="false">
      <c r="A125" s="5" t="s">
        <v>75</v>
      </c>
      <c r="B125" s="5" t="s">
        <v>2155</v>
      </c>
      <c r="C125" s="5" t="s">
        <v>2156</v>
      </c>
      <c r="D125" s="5" t="s">
        <v>2157</v>
      </c>
      <c r="E125" s="5" t="s">
        <v>1628</v>
      </c>
      <c r="F125" s="5" t="s">
        <v>265</v>
      </c>
      <c r="G125" s="5" t="s">
        <v>345</v>
      </c>
      <c r="H125" s="5" t="n">
        <v>6</v>
      </c>
      <c r="I125" s="5" t="s">
        <v>1656</v>
      </c>
      <c r="J125" s="5" t="s">
        <v>2158</v>
      </c>
      <c r="K125" s="5" t="s">
        <v>2159</v>
      </c>
    </row>
    <row r="126" customFormat="false" ht="15" hidden="false" customHeight="false" outlineLevel="0" collapsed="false">
      <c r="A126" s="5" t="s">
        <v>57</v>
      </c>
      <c r="B126" s="5" t="s">
        <v>813</v>
      </c>
      <c r="C126" s="5" t="s">
        <v>2160</v>
      </c>
      <c r="D126" s="5" t="s">
        <v>2161</v>
      </c>
      <c r="E126" s="5" t="s">
        <v>1628</v>
      </c>
      <c r="F126" s="5" t="s">
        <v>265</v>
      </c>
      <c r="G126" s="5" t="s">
        <v>345</v>
      </c>
      <c r="H126" s="5" t="n">
        <v>6</v>
      </c>
      <c r="I126" s="5" t="s">
        <v>2162</v>
      </c>
      <c r="J126" s="5" t="s">
        <v>814</v>
      </c>
      <c r="K126" s="5" t="s">
        <v>815</v>
      </c>
    </row>
    <row r="127" customFormat="false" ht="15" hidden="false" customHeight="false" outlineLevel="0" collapsed="false">
      <c r="A127" s="5" t="s">
        <v>51</v>
      </c>
      <c r="B127" s="5" t="s">
        <v>2163</v>
      </c>
      <c r="C127" s="5" t="s">
        <v>2164</v>
      </c>
      <c r="D127" s="5" t="s">
        <v>2165</v>
      </c>
      <c r="E127" s="5" t="s">
        <v>1628</v>
      </c>
      <c r="F127" s="5" t="s">
        <v>265</v>
      </c>
      <c r="G127" s="5" t="s">
        <v>345</v>
      </c>
      <c r="H127" s="5"/>
      <c r="I127" s="5" t="s">
        <v>1709</v>
      </c>
      <c r="J127" s="5" t="s">
        <v>2166</v>
      </c>
      <c r="K127" s="5" t="s">
        <v>2167</v>
      </c>
    </row>
    <row r="128" customFormat="false" ht="15" hidden="false" customHeight="false" outlineLevel="0" collapsed="false">
      <c r="A128" s="5" t="s">
        <v>69</v>
      </c>
      <c r="B128" s="5" t="s">
        <v>1040</v>
      </c>
      <c r="C128" s="5" t="s">
        <v>2168</v>
      </c>
      <c r="D128" s="5" t="s">
        <v>2169</v>
      </c>
      <c r="E128" s="5" t="s">
        <v>1628</v>
      </c>
      <c r="F128" s="5" t="s">
        <v>265</v>
      </c>
      <c r="G128" s="5" t="s">
        <v>345</v>
      </c>
      <c r="H128" s="5" t="n">
        <v>3</v>
      </c>
      <c r="I128" s="5" t="s">
        <v>1664</v>
      </c>
      <c r="J128" s="5" t="s">
        <v>1041</v>
      </c>
      <c r="K128" s="5" t="s">
        <v>1042</v>
      </c>
    </row>
    <row r="129" customFormat="false" ht="15" hidden="false" customHeight="false" outlineLevel="0" collapsed="false">
      <c r="A129" s="5" t="s">
        <v>69</v>
      </c>
      <c r="B129" s="5" t="s">
        <v>2170</v>
      </c>
      <c r="C129" s="5" t="s">
        <v>2171</v>
      </c>
      <c r="D129" s="5" t="s">
        <v>2172</v>
      </c>
      <c r="E129" s="5" t="s">
        <v>1628</v>
      </c>
      <c r="F129" s="5" t="s">
        <v>104</v>
      </c>
      <c r="G129" s="5" t="s">
        <v>459</v>
      </c>
      <c r="H129" s="5" t="n">
        <v>2</v>
      </c>
      <c r="I129" s="5" t="s">
        <v>1664</v>
      </c>
      <c r="J129" s="5" t="s">
        <v>2173</v>
      </c>
      <c r="K129" s="5" t="s">
        <v>2174</v>
      </c>
    </row>
    <row r="130" customFormat="false" ht="15" hidden="false" customHeight="false" outlineLevel="0" collapsed="false">
      <c r="A130" s="5" t="s">
        <v>72</v>
      </c>
      <c r="B130" s="5" t="s">
        <v>2175</v>
      </c>
      <c r="C130" s="5" t="s">
        <v>2176</v>
      </c>
      <c r="D130" s="5" t="s">
        <v>2177</v>
      </c>
      <c r="E130" s="5" t="s">
        <v>1628</v>
      </c>
      <c r="F130" s="5" t="s">
        <v>265</v>
      </c>
      <c r="G130" s="5" t="s">
        <v>345</v>
      </c>
      <c r="H130" s="5" t="n">
        <v>6</v>
      </c>
      <c r="I130" s="5" t="s">
        <v>1709</v>
      </c>
      <c r="J130" s="5" t="s">
        <v>2178</v>
      </c>
      <c r="K130" s="5" t="s">
        <v>2179</v>
      </c>
    </row>
    <row r="131" customFormat="false" ht="15" hidden="false" customHeight="false" outlineLevel="0" collapsed="false">
      <c r="A131" s="5" t="s">
        <v>43</v>
      </c>
      <c r="B131" s="5" t="s">
        <v>2180</v>
      </c>
      <c r="C131" s="5" t="s">
        <v>2181</v>
      </c>
      <c r="D131" s="5" t="s">
        <v>2182</v>
      </c>
      <c r="E131" s="5" t="s">
        <v>1628</v>
      </c>
      <c r="F131" s="5" t="s">
        <v>265</v>
      </c>
      <c r="G131" s="5" t="s">
        <v>436</v>
      </c>
      <c r="H131" s="5" t="n">
        <v>11</v>
      </c>
      <c r="I131" s="5" t="s">
        <v>1858</v>
      </c>
      <c r="J131" s="5" t="s">
        <v>2183</v>
      </c>
      <c r="K131" s="5" t="s">
        <v>2184</v>
      </c>
    </row>
    <row r="132" customFormat="false" ht="15" hidden="false" customHeight="false" outlineLevel="0" collapsed="false">
      <c r="A132" s="5" t="s">
        <v>51</v>
      </c>
      <c r="B132" s="5" t="s">
        <v>2185</v>
      </c>
      <c r="C132" s="5" t="s">
        <v>2186</v>
      </c>
      <c r="D132" s="5" t="s">
        <v>2187</v>
      </c>
      <c r="E132" s="5" t="s">
        <v>1628</v>
      </c>
      <c r="F132" s="5" t="s">
        <v>265</v>
      </c>
      <c r="G132" s="5" t="s">
        <v>345</v>
      </c>
      <c r="H132" s="5" t="n">
        <v>2</v>
      </c>
      <c r="I132" s="5" t="s">
        <v>1709</v>
      </c>
      <c r="J132" s="5" t="s">
        <v>2188</v>
      </c>
      <c r="K132" s="5" t="s">
        <v>2189</v>
      </c>
    </row>
    <row r="133" customFormat="false" ht="15" hidden="false" customHeight="false" outlineLevel="0" collapsed="false">
      <c r="A133" s="5" t="s">
        <v>54</v>
      </c>
      <c r="B133" s="5" t="s">
        <v>2190</v>
      </c>
      <c r="C133" s="5" t="s">
        <v>2191</v>
      </c>
      <c r="D133" s="5" t="s">
        <v>2192</v>
      </c>
      <c r="E133" s="5" t="s">
        <v>1628</v>
      </c>
      <c r="F133" s="5" t="s">
        <v>265</v>
      </c>
      <c r="G133" s="5" t="s">
        <v>1259</v>
      </c>
      <c r="H133" s="5" t="n">
        <v>2</v>
      </c>
      <c r="I133" s="5" t="s">
        <v>1629</v>
      </c>
      <c r="J133" s="5" t="s">
        <v>2193</v>
      </c>
      <c r="K133" s="5" t="s">
        <v>2194</v>
      </c>
    </row>
    <row r="134" customFormat="false" ht="15" hidden="false" customHeight="false" outlineLevel="0" collapsed="false">
      <c r="A134" s="5" t="s">
        <v>66</v>
      </c>
      <c r="B134" s="5" t="s">
        <v>2195</v>
      </c>
      <c r="C134" s="5" t="s">
        <v>2196</v>
      </c>
      <c r="D134" s="5" t="s">
        <v>2197</v>
      </c>
      <c r="E134" s="5" t="s">
        <v>1628</v>
      </c>
      <c r="F134" s="5" t="s">
        <v>265</v>
      </c>
      <c r="G134" s="5" t="s">
        <v>345</v>
      </c>
      <c r="H134" s="5" t="n">
        <v>2</v>
      </c>
      <c r="I134" s="5" t="s">
        <v>1664</v>
      </c>
      <c r="J134" s="5" t="s">
        <v>2198</v>
      </c>
      <c r="K134" s="5" t="s">
        <v>2199</v>
      </c>
    </row>
    <row r="135" customFormat="false" ht="15" hidden="false" customHeight="false" outlineLevel="0" collapsed="false">
      <c r="A135" s="5" t="s">
        <v>63</v>
      </c>
      <c r="B135" s="5" t="s">
        <v>2200</v>
      </c>
      <c r="C135" s="5" t="s">
        <v>2201</v>
      </c>
      <c r="D135" s="5" t="s">
        <v>2202</v>
      </c>
      <c r="E135" s="5" t="s">
        <v>1628</v>
      </c>
      <c r="F135" s="5" t="s">
        <v>265</v>
      </c>
      <c r="G135" s="5" t="s">
        <v>345</v>
      </c>
      <c r="H135" s="5" t="n">
        <v>2</v>
      </c>
      <c r="I135" s="5" t="s">
        <v>1629</v>
      </c>
      <c r="J135" s="5" t="s">
        <v>2203</v>
      </c>
      <c r="K135" s="5" t="s">
        <v>2204</v>
      </c>
    </row>
    <row r="136" customFormat="false" ht="15" hidden="false" customHeight="false" outlineLevel="0" collapsed="false">
      <c r="A136" s="5" t="s">
        <v>80</v>
      </c>
      <c r="B136" s="5" t="s">
        <v>2205</v>
      </c>
      <c r="C136" s="5" t="s">
        <v>2206</v>
      </c>
      <c r="D136" s="5" t="s">
        <v>2207</v>
      </c>
      <c r="E136" s="5" t="s">
        <v>1628</v>
      </c>
      <c r="F136" s="5" t="s">
        <v>104</v>
      </c>
      <c r="G136" s="5" t="s">
        <v>735</v>
      </c>
      <c r="H136" s="5" t="n">
        <v>7</v>
      </c>
      <c r="I136" s="5" t="s">
        <v>2208</v>
      </c>
      <c r="J136" s="5" t="s">
        <v>2209</v>
      </c>
      <c r="K136" s="5" t="s">
        <v>2210</v>
      </c>
    </row>
    <row r="137" customFormat="false" ht="15" hidden="false" customHeight="false" outlineLevel="0" collapsed="false">
      <c r="A137" s="5" t="s">
        <v>51</v>
      </c>
      <c r="B137" s="5" t="s">
        <v>2211</v>
      </c>
      <c r="C137" s="5" t="s">
        <v>2212</v>
      </c>
      <c r="D137" s="5" t="s">
        <v>2213</v>
      </c>
      <c r="E137" s="5" t="s">
        <v>1628</v>
      </c>
      <c r="F137" s="5" t="s">
        <v>265</v>
      </c>
      <c r="G137" s="5" t="s">
        <v>382</v>
      </c>
      <c r="H137" s="5" t="n">
        <v>11</v>
      </c>
      <c r="I137" s="5" t="s">
        <v>1709</v>
      </c>
      <c r="J137" s="5" t="s">
        <v>2214</v>
      </c>
      <c r="K137" s="5" t="s">
        <v>2215</v>
      </c>
    </row>
    <row r="138" customFormat="false" ht="15" hidden="false" customHeight="false" outlineLevel="0" collapsed="false">
      <c r="A138" s="5" t="s">
        <v>63</v>
      </c>
      <c r="B138" s="5" t="s">
        <v>916</v>
      </c>
      <c r="C138" s="5" t="s">
        <v>2216</v>
      </c>
      <c r="D138" s="5" t="s">
        <v>2217</v>
      </c>
      <c r="E138" s="5" t="s">
        <v>1628</v>
      </c>
      <c r="F138" s="5" t="s">
        <v>265</v>
      </c>
      <c r="G138" s="5" t="s">
        <v>345</v>
      </c>
      <c r="H138" s="5" t="n">
        <v>2</v>
      </c>
      <c r="I138" s="5" t="s">
        <v>1709</v>
      </c>
      <c r="J138" s="5" t="s">
        <v>917</v>
      </c>
      <c r="K138" s="5" t="s">
        <v>918</v>
      </c>
    </row>
    <row r="139" customFormat="false" ht="15" hidden="false" customHeight="false" outlineLevel="0" collapsed="false">
      <c r="A139" s="5" t="s">
        <v>54</v>
      </c>
      <c r="B139" s="5" t="s">
        <v>779</v>
      </c>
      <c r="C139" s="5" t="s">
        <v>2218</v>
      </c>
      <c r="D139" s="5" t="s">
        <v>2219</v>
      </c>
      <c r="E139" s="5" t="s">
        <v>1628</v>
      </c>
      <c r="F139" s="5" t="s">
        <v>265</v>
      </c>
      <c r="G139" s="5" t="s">
        <v>345</v>
      </c>
      <c r="H139" s="5" t="n">
        <v>26</v>
      </c>
      <c r="I139" s="5" t="s">
        <v>1629</v>
      </c>
      <c r="J139" s="5" t="s">
        <v>780</v>
      </c>
      <c r="K139" s="5" t="s">
        <v>781</v>
      </c>
    </row>
    <row r="140" customFormat="false" ht="15" hidden="false" customHeight="false" outlineLevel="0" collapsed="false">
      <c r="A140" s="5" t="s">
        <v>76</v>
      </c>
      <c r="B140" s="5" t="s">
        <v>2220</v>
      </c>
      <c r="C140" s="5" t="s">
        <v>2221</v>
      </c>
      <c r="D140" s="5" t="s">
        <v>2221</v>
      </c>
      <c r="E140" s="5" t="s">
        <v>1628</v>
      </c>
      <c r="F140" s="5" t="s">
        <v>265</v>
      </c>
      <c r="G140" s="5" t="s">
        <v>345</v>
      </c>
      <c r="H140" s="5" t="n">
        <v>3</v>
      </c>
      <c r="I140" s="5" t="s">
        <v>1709</v>
      </c>
      <c r="J140" s="5" t="s">
        <v>2222</v>
      </c>
      <c r="K140" s="5" t="s">
        <v>2223</v>
      </c>
    </row>
    <row r="141" customFormat="false" ht="15" hidden="false" customHeight="false" outlineLevel="0" collapsed="false">
      <c r="A141" s="5" t="s">
        <v>66</v>
      </c>
      <c r="B141" s="5" t="s">
        <v>980</v>
      </c>
      <c r="C141" s="5" t="s">
        <v>2224</v>
      </c>
      <c r="D141" s="5" t="s">
        <v>2225</v>
      </c>
      <c r="E141" s="5" t="s">
        <v>1628</v>
      </c>
      <c r="F141" s="5" t="s">
        <v>265</v>
      </c>
      <c r="G141" s="5" t="s">
        <v>345</v>
      </c>
      <c r="H141" s="5" t="n">
        <v>3</v>
      </c>
      <c r="I141" s="5" t="s">
        <v>1911</v>
      </c>
      <c r="J141" s="5" t="s">
        <v>981</v>
      </c>
      <c r="K141" s="5" t="s">
        <v>982</v>
      </c>
    </row>
    <row r="142" customFormat="false" ht="15" hidden="false" customHeight="false" outlineLevel="0" collapsed="false">
      <c r="A142" s="5" t="s">
        <v>83</v>
      </c>
      <c r="B142" s="5" t="s">
        <v>2226</v>
      </c>
      <c r="C142" s="5" t="s">
        <v>2227</v>
      </c>
      <c r="D142" s="5" t="s">
        <v>2228</v>
      </c>
      <c r="E142" s="5" t="s">
        <v>1628</v>
      </c>
      <c r="F142" s="5" t="s">
        <v>265</v>
      </c>
      <c r="G142" s="5" t="s">
        <v>775</v>
      </c>
      <c r="H142" s="5" t="n">
        <v>8</v>
      </c>
      <c r="I142" s="5" t="s">
        <v>2229</v>
      </c>
      <c r="J142" s="5" t="s">
        <v>2230</v>
      </c>
      <c r="K142" s="5" t="s">
        <v>2231</v>
      </c>
    </row>
    <row r="143" customFormat="false" ht="15" hidden="false" customHeight="false" outlineLevel="0" collapsed="false">
      <c r="A143" s="5" t="s">
        <v>46</v>
      </c>
      <c r="B143" s="5" t="s">
        <v>2232</v>
      </c>
      <c r="C143" s="5" t="s">
        <v>2233</v>
      </c>
      <c r="D143" s="5" t="s">
        <v>2234</v>
      </c>
      <c r="E143" s="5" t="s">
        <v>1628</v>
      </c>
      <c r="F143" s="5" t="s">
        <v>104</v>
      </c>
      <c r="G143" s="5" t="s">
        <v>445</v>
      </c>
      <c r="H143" s="5" t="n">
        <v>10</v>
      </c>
      <c r="I143" s="5" t="s">
        <v>1640</v>
      </c>
      <c r="J143" s="5" t="s">
        <v>2235</v>
      </c>
      <c r="K143" s="5" t="s">
        <v>2236</v>
      </c>
    </row>
    <row r="144" customFormat="false" ht="15" hidden="false" customHeight="false" outlineLevel="0" collapsed="false">
      <c r="A144" s="5" t="s">
        <v>46</v>
      </c>
      <c r="B144" s="5" t="s">
        <v>550</v>
      </c>
      <c r="C144" s="5" t="s">
        <v>2237</v>
      </c>
      <c r="D144" s="5" t="s">
        <v>2238</v>
      </c>
      <c r="E144" s="5" t="s">
        <v>1628</v>
      </c>
      <c r="F144" s="5" t="s">
        <v>265</v>
      </c>
      <c r="G144" s="5" t="s">
        <v>345</v>
      </c>
      <c r="H144" s="5" t="n">
        <v>4</v>
      </c>
      <c r="I144" s="5" t="s">
        <v>1640</v>
      </c>
      <c r="J144" s="5" t="s">
        <v>551</v>
      </c>
      <c r="K144" s="5" t="s">
        <v>552</v>
      </c>
    </row>
    <row r="145" customFormat="false" ht="15" hidden="false" customHeight="false" outlineLevel="0" collapsed="false">
      <c r="A145" s="5" t="s">
        <v>72</v>
      </c>
      <c r="B145" s="5" t="s">
        <v>2239</v>
      </c>
      <c r="C145" s="5" t="s">
        <v>2240</v>
      </c>
      <c r="D145" s="5" t="s">
        <v>2241</v>
      </c>
      <c r="E145" s="5" t="s">
        <v>1628</v>
      </c>
      <c r="F145" s="5" t="s">
        <v>104</v>
      </c>
      <c r="G145" s="5" t="s">
        <v>445</v>
      </c>
      <c r="H145" s="5" t="n">
        <v>8</v>
      </c>
      <c r="I145" s="5" t="s">
        <v>1709</v>
      </c>
      <c r="J145" s="5" t="s">
        <v>2242</v>
      </c>
      <c r="K145" s="5" t="s">
        <v>2243</v>
      </c>
    </row>
    <row r="146" customFormat="false" ht="15" hidden="false" customHeight="false" outlineLevel="0" collapsed="false">
      <c r="A146" s="5" t="s">
        <v>83</v>
      </c>
      <c r="B146" s="5" t="s">
        <v>2244</v>
      </c>
      <c r="C146" s="5" t="s">
        <v>2245</v>
      </c>
      <c r="D146" s="5" t="s">
        <v>2246</v>
      </c>
      <c r="E146" s="5" t="s">
        <v>1628</v>
      </c>
      <c r="F146" s="5" t="s">
        <v>265</v>
      </c>
      <c r="G146" s="5" t="s">
        <v>2247</v>
      </c>
      <c r="H146" s="5" t="n">
        <v>2</v>
      </c>
      <c r="I146" s="5" t="s">
        <v>2248</v>
      </c>
      <c r="J146" s="5" t="s">
        <v>2249</v>
      </c>
      <c r="K146" s="5" t="s">
        <v>2250</v>
      </c>
    </row>
    <row r="147" customFormat="false" ht="15" hidden="false" customHeight="false" outlineLevel="0" collapsed="false">
      <c r="A147" s="5" t="s">
        <v>69</v>
      </c>
      <c r="B147" s="5" t="s">
        <v>1005</v>
      </c>
      <c r="C147" s="5" t="s">
        <v>2251</v>
      </c>
      <c r="D147" s="5" t="s">
        <v>2252</v>
      </c>
      <c r="E147" s="5" t="s">
        <v>2253</v>
      </c>
      <c r="F147" s="5" t="s">
        <v>265</v>
      </c>
      <c r="G147" s="5" t="s">
        <v>345</v>
      </c>
      <c r="H147" s="5" t="n">
        <v>4</v>
      </c>
      <c r="I147" s="5" t="s">
        <v>1709</v>
      </c>
      <c r="J147" s="5" t="s">
        <v>1006</v>
      </c>
      <c r="K147" s="5" t="s">
        <v>1007</v>
      </c>
    </row>
    <row r="148" customFormat="false" ht="15" hidden="false" customHeight="false" outlineLevel="0" collapsed="false">
      <c r="A148" s="5" t="s">
        <v>92</v>
      </c>
      <c r="B148" s="5" t="s">
        <v>2254</v>
      </c>
      <c r="C148" s="5" t="s">
        <v>2255</v>
      </c>
      <c r="D148" s="5" t="s">
        <v>2256</v>
      </c>
      <c r="E148" s="5" t="s">
        <v>2253</v>
      </c>
      <c r="F148" s="5" t="s">
        <v>265</v>
      </c>
      <c r="G148" s="5" t="s">
        <v>345</v>
      </c>
      <c r="H148" s="5" t="n">
        <v>5</v>
      </c>
      <c r="I148" s="5" t="s">
        <v>1709</v>
      </c>
      <c r="J148" s="5" t="s">
        <v>2257</v>
      </c>
      <c r="K148" s="5" t="s">
        <v>2258</v>
      </c>
    </row>
    <row r="149" customFormat="false" ht="15" hidden="false" customHeight="false" outlineLevel="0" collapsed="false">
      <c r="A149" s="5" t="s">
        <v>69</v>
      </c>
      <c r="B149" s="5" t="s">
        <v>2259</v>
      </c>
      <c r="C149" s="5" t="s">
        <v>2260</v>
      </c>
      <c r="D149" s="5" t="s">
        <v>2261</v>
      </c>
      <c r="E149" s="5" t="s">
        <v>2253</v>
      </c>
      <c r="F149" s="5" t="s">
        <v>265</v>
      </c>
      <c r="G149" s="5" t="s">
        <v>345</v>
      </c>
      <c r="H149" s="5" t="n">
        <v>3</v>
      </c>
      <c r="I149" s="5" t="s">
        <v>1664</v>
      </c>
      <c r="J149" s="5" t="s">
        <v>2262</v>
      </c>
      <c r="K149" s="5" t="s">
        <v>2263</v>
      </c>
    </row>
    <row r="150" customFormat="false" ht="15" hidden="false" customHeight="false" outlineLevel="0" collapsed="false">
      <c r="A150" s="5" t="s">
        <v>75</v>
      </c>
      <c r="B150" s="5" t="s">
        <v>2264</v>
      </c>
      <c r="C150" s="5" t="s">
        <v>2265</v>
      </c>
      <c r="D150" s="5" t="s">
        <v>2266</v>
      </c>
      <c r="E150" s="5" t="s">
        <v>2253</v>
      </c>
      <c r="F150" s="5" t="s">
        <v>265</v>
      </c>
      <c r="G150" s="5" t="s">
        <v>345</v>
      </c>
      <c r="H150" s="5" t="n">
        <v>3</v>
      </c>
      <c r="I150" s="5" t="s">
        <v>1709</v>
      </c>
      <c r="J150" s="5" t="s">
        <v>2267</v>
      </c>
      <c r="K150" s="5" t="s">
        <v>2268</v>
      </c>
    </row>
    <row r="151" customFormat="false" ht="15" hidden="false" customHeight="false" outlineLevel="0" collapsed="false">
      <c r="A151" s="5" t="s">
        <v>63</v>
      </c>
      <c r="B151" s="5" t="s">
        <v>2269</v>
      </c>
      <c r="C151" s="5" t="s">
        <v>2270</v>
      </c>
      <c r="D151" s="5" t="s">
        <v>2271</v>
      </c>
      <c r="E151" s="5" t="s">
        <v>2253</v>
      </c>
      <c r="F151" s="5" t="s">
        <v>265</v>
      </c>
      <c r="G151" s="5" t="s">
        <v>345</v>
      </c>
      <c r="H151" s="5" t="n">
        <v>2</v>
      </c>
      <c r="I151" s="5" t="s">
        <v>1911</v>
      </c>
      <c r="J151" s="5" t="s">
        <v>2272</v>
      </c>
      <c r="K151" s="5" t="s">
        <v>2273</v>
      </c>
    </row>
    <row r="152" customFormat="false" ht="15" hidden="false" customHeight="false" outlineLevel="0" collapsed="false">
      <c r="A152" s="5" t="s">
        <v>89</v>
      </c>
      <c r="B152" s="5" t="s">
        <v>2274</v>
      </c>
      <c r="C152" s="5" t="s">
        <v>2275</v>
      </c>
      <c r="D152" s="5" t="s">
        <v>2276</v>
      </c>
      <c r="E152" s="5" t="s">
        <v>2253</v>
      </c>
      <c r="F152" s="5" t="s">
        <v>265</v>
      </c>
      <c r="G152" s="5" t="s">
        <v>775</v>
      </c>
      <c r="H152" s="5" t="n">
        <v>2</v>
      </c>
      <c r="I152" s="5" t="s">
        <v>1694</v>
      </c>
      <c r="J152" s="5" t="s">
        <v>2277</v>
      </c>
      <c r="K152" s="5" t="s">
        <v>2278</v>
      </c>
    </row>
    <row r="153" customFormat="false" ht="15" hidden="false" customHeight="false" outlineLevel="0" collapsed="false">
      <c r="A153" s="5" t="s">
        <v>66</v>
      </c>
      <c r="B153" s="5" t="s">
        <v>2279</v>
      </c>
      <c r="C153" s="5" t="s">
        <v>2280</v>
      </c>
      <c r="D153" s="5" t="s">
        <v>2281</v>
      </c>
      <c r="E153" s="5" t="s">
        <v>2253</v>
      </c>
      <c r="F153" s="5" t="s">
        <v>265</v>
      </c>
      <c r="G153" s="5" t="s">
        <v>345</v>
      </c>
      <c r="H153" s="5" t="n">
        <v>1</v>
      </c>
      <c r="I153" s="5" t="s">
        <v>1664</v>
      </c>
      <c r="J153" s="5" t="s">
        <v>2282</v>
      </c>
      <c r="K153" s="5" t="s">
        <v>2283</v>
      </c>
    </row>
    <row r="154" customFormat="false" ht="15" hidden="false" customHeight="false" outlineLevel="0" collapsed="false">
      <c r="A154" s="5" t="s">
        <v>69</v>
      </c>
      <c r="B154" s="5" t="s">
        <v>2284</v>
      </c>
      <c r="C154" s="5" t="s">
        <v>2285</v>
      </c>
      <c r="D154" s="5" t="s">
        <v>2286</v>
      </c>
      <c r="E154" s="5" t="s">
        <v>2253</v>
      </c>
      <c r="F154" s="5" t="s">
        <v>104</v>
      </c>
      <c r="G154" s="5" t="s">
        <v>579</v>
      </c>
      <c r="H154" s="5" t="n">
        <v>2</v>
      </c>
      <c r="I154" s="5" t="s">
        <v>1664</v>
      </c>
      <c r="J154" s="5" t="s">
        <v>2287</v>
      </c>
      <c r="K154" s="5" t="s">
        <v>2288</v>
      </c>
    </row>
    <row r="155" customFormat="false" ht="15" hidden="false" customHeight="false" outlineLevel="0" collapsed="false">
      <c r="A155" s="5" t="s">
        <v>72</v>
      </c>
      <c r="B155" s="5" t="s">
        <v>2289</v>
      </c>
      <c r="C155" s="5" t="s">
        <v>2290</v>
      </c>
      <c r="D155" s="5" t="s">
        <v>2291</v>
      </c>
      <c r="E155" s="5" t="s">
        <v>2253</v>
      </c>
      <c r="F155" s="5" t="s">
        <v>265</v>
      </c>
      <c r="G155" s="5" t="s">
        <v>382</v>
      </c>
      <c r="H155" s="5" t="n">
        <v>4</v>
      </c>
      <c r="I155" s="5" t="s">
        <v>2292</v>
      </c>
      <c r="J155" s="5" t="s">
        <v>2293</v>
      </c>
      <c r="K155" s="5" t="s">
        <v>2294</v>
      </c>
    </row>
    <row r="156" customFormat="false" ht="15" hidden="false" customHeight="false" outlineLevel="0" collapsed="false">
      <c r="A156" s="5" t="s">
        <v>66</v>
      </c>
      <c r="B156" s="5" t="s">
        <v>2295</v>
      </c>
      <c r="C156" s="5" t="s">
        <v>2296</v>
      </c>
      <c r="D156" s="5" t="s">
        <v>2297</v>
      </c>
      <c r="E156" s="5" t="s">
        <v>2253</v>
      </c>
      <c r="F156" s="5" t="s">
        <v>265</v>
      </c>
      <c r="G156" s="5" t="s">
        <v>345</v>
      </c>
      <c r="H156" s="5" t="n">
        <v>2</v>
      </c>
      <c r="I156" s="5" t="s">
        <v>1709</v>
      </c>
      <c r="J156" s="5" t="s">
        <v>2298</v>
      </c>
      <c r="K156" s="5" t="s">
        <v>2299</v>
      </c>
    </row>
    <row r="157" customFormat="false" ht="15" hidden="false" customHeight="false" outlineLevel="0" collapsed="false">
      <c r="A157" s="5" t="s">
        <v>72</v>
      </c>
      <c r="B157" s="5" t="s">
        <v>1065</v>
      </c>
      <c r="C157" s="5" t="s">
        <v>2300</v>
      </c>
      <c r="D157" s="5" t="s">
        <v>2301</v>
      </c>
      <c r="E157" s="5" t="s">
        <v>2253</v>
      </c>
      <c r="F157" s="5" t="s">
        <v>265</v>
      </c>
      <c r="G157" s="5" t="s">
        <v>382</v>
      </c>
      <c r="H157" s="5" t="n">
        <v>3</v>
      </c>
      <c r="I157" s="5" t="s">
        <v>1647</v>
      </c>
      <c r="J157" s="5" t="s">
        <v>1066</v>
      </c>
      <c r="K157" s="5" t="s">
        <v>1067</v>
      </c>
    </row>
    <row r="158" customFormat="false" ht="15" hidden="false" customHeight="false" outlineLevel="0" collapsed="false">
      <c r="A158" s="5" t="s">
        <v>86</v>
      </c>
      <c r="B158" s="5" t="s">
        <v>1317</v>
      </c>
      <c r="C158" s="5" t="s">
        <v>2302</v>
      </c>
      <c r="D158" s="5" t="s">
        <v>2303</v>
      </c>
      <c r="E158" s="5" t="s">
        <v>2253</v>
      </c>
      <c r="F158" s="5" t="s">
        <v>265</v>
      </c>
      <c r="G158" s="5" t="s">
        <v>345</v>
      </c>
      <c r="H158" s="5" t="n">
        <v>1</v>
      </c>
      <c r="I158" s="5" t="s">
        <v>1664</v>
      </c>
      <c r="J158" s="5" t="s">
        <v>1318</v>
      </c>
      <c r="K158" s="5" t="s">
        <v>1319</v>
      </c>
    </row>
    <row r="159" customFormat="false" ht="15" hidden="false" customHeight="false" outlineLevel="0" collapsed="false">
      <c r="A159" s="5" t="s">
        <v>43</v>
      </c>
      <c r="B159" s="5" t="s">
        <v>2304</v>
      </c>
      <c r="C159" s="5" t="s">
        <v>2305</v>
      </c>
      <c r="D159" s="5" t="s">
        <v>2306</v>
      </c>
      <c r="E159" s="5" t="s">
        <v>2253</v>
      </c>
      <c r="F159" s="5" t="s">
        <v>104</v>
      </c>
      <c r="G159" s="5"/>
      <c r="H159" s="5" t="n">
        <v>2</v>
      </c>
      <c r="I159" s="5" t="s">
        <v>1760</v>
      </c>
      <c r="J159" s="5" t="s">
        <v>2307</v>
      </c>
      <c r="K159" s="5" t="s">
        <v>2308</v>
      </c>
    </row>
    <row r="160" customFormat="false" ht="15" hidden="false" customHeight="false" outlineLevel="0" collapsed="false">
      <c r="A160" s="5" t="s">
        <v>63</v>
      </c>
      <c r="B160" s="5" t="s">
        <v>2309</v>
      </c>
      <c r="C160" s="5" t="s">
        <v>2310</v>
      </c>
      <c r="D160" s="5" t="s">
        <v>2311</v>
      </c>
      <c r="E160" s="5" t="s">
        <v>2253</v>
      </c>
      <c r="F160" s="5" t="s">
        <v>265</v>
      </c>
      <c r="G160" s="5" t="s">
        <v>345</v>
      </c>
      <c r="H160" s="5" t="n">
        <v>2</v>
      </c>
      <c r="I160" s="5" t="s">
        <v>1656</v>
      </c>
      <c r="J160" s="5" t="s">
        <v>2312</v>
      </c>
      <c r="K160" s="5" t="s">
        <v>2313</v>
      </c>
    </row>
    <row r="161" customFormat="false" ht="15" hidden="false" customHeight="false" outlineLevel="0" collapsed="false">
      <c r="A161" s="5" t="s">
        <v>43</v>
      </c>
      <c r="B161" s="5" t="s">
        <v>2314</v>
      </c>
      <c r="C161" s="5" t="s">
        <v>2315</v>
      </c>
      <c r="D161" s="5" t="s">
        <v>2316</v>
      </c>
      <c r="E161" s="5" t="s">
        <v>2253</v>
      </c>
      <c r="F161" s="5" t="s">
        <v>265</v>
      </c>
      <c r="G161" s="5" t="s">
        <v>345</v>
      </c>
      <c r="H161" s="5" t="n">
        <v>7</v>
      </c>
      <c r="I161" s="5" t="s">
        <v>1709</v>
      </c>
      <c r="J161" s="5" t="s">
        <v>2317</v>
      </c>
      <c r="K161" s="5" t="s">
        <v>2318</v>
      </c>
    </row>
    <row r="162" customFormat="false" ht="15" hidden="false" customHeight="false" outlineLevel="0" collapsed="false">
      <c r="A162" s="5" t="s">
        <v>83</v>
      </c>
      <c r="B162" s="5" t="s">
        <v>2319</v>
      </c>
      <c r="C162" s="5" t="s">
        <v>2320</v>
      </c>
      <c r="D162" s="5" t="s">
        <v>2321</v>
      </c>
      <c r="E162" s="5" t="s">
        <v>2253</v>
      </c>
      <c r="F162" s="5" t="s">
        <v>265</v>
      </c>
      <c r="G162" s="5" t="s">
        <v>345</v>
      </c>
      <c r="H162" s="5" t="n">
        <v>2</v>
      </c>
      <c r="I162" s="5" t="s">
        <v>2229</v>
      </c>
      <c r="J162" s="5" t="s">
        <v>2322</v>
      </c>
      <c r="K162" s="5" t="s">
        <v>2323</v>
      </c>
    </row>
    <row r="163" customFormat="false" ht="15" hidden="false" customHeight="false" outlineLevel="0" collapsed="false">
      <c r="A163" s="5" t="s">
        <v>89</v>
      </c>
      <c r="B163" s="5" t="s">
        <v>2324</v>
      </c>
      <c r="C163" s="5" t="s">
        <v>2325</v>
      </c>
      <c r="D163" s="5" t="s">
        <v>2326</v>
      </c>
      <c r="E163" s="5" t="s">
        <v>2253</v>
      </c>
      <c r="F163" s="5" t="s">
        <v>265</v>
      </c>
      <c r="G163" s="5" t="s">
        <v>436</v>
      </c>
      <c r="H163" s="5" t="n">
        <v>2</v>
      </c>
      <c r="I163" s="5" t="s">
        <v>1694</v>
      </c>
      <c r="J163" s="5" t="s">
        <v>2327</v>
      </c>
      <c r="K163" s="5" t="s">
        <v>2328</v>
      </c>
    </row>
    <row r="164" customFormat="false" ht="15" hidden="false" customHeight="false" outlineLevel="0" collapsed="false">
      <c r="A164" s="5" t="s">
        <v>40</v>
      </c>
      <c r="B164" s="5" t="s">
        <v>2329</v>
      </c>
      <c r="C164" s="5" t="s">
        <v>2330</v>
      </c>
      <c r="D164" s="5" t="s">
        <v>2331</v>
      </c>
      <c r="E164" s="5" t="s">
        <v>2253</v>
      </c>
      <c r="F164" s="5" t="s">
        <v>104</v>
      </c>
      <c r="G164" s="5" t="s">
        <v>445</v>
      </c>
      <c r="H164" s="5" t="n">
        <v>20</v>
      </c>
      <c r="I164" s="5" t="s">
        <v>1640</v>
      </c>
      <c r="J164" s="5" t="s">
        <v>2332</v>
      </c>
      <c r="K164" s="5" t="s">
        <v>2333</v>
      </c>
    </row>
    <row r="165" customFormat="false" ht="15" hidden="false" customHeight="false" outlineLevel="0" collapsed="false">
      <c r="A165" s="5" t="s">
        <v>51</v>
      </c>
      <c r="B165" s="5" t="s">
        <v>2334</v>
      </c>
      <c r="C165" s="5" t="s">
        <v>2335</v>
      </c>
      <c r="D165" s="5" t="s">
        <v>2336</v>
      </c>
      <c r="E165" s="5" t="s">
        <v>2253</v>
      </c>
      <c r="F165" s="5" t="s">
        <v>265</v>
      </c>
      <c r="G165" s="5" t="s">
        <v>345</v>
      </c>
      <c r="H165" s="5" t="n">
        <v>2</v>
      </c>
      <c r="I165" s="5" t="s">
        <v>1709</v>
      </c>
      <c r="J165" s="5" t="s">
        <v>2337</v>
      </c>
      <c r="K165" s="5" t="s">
        <v>2338</v>
      </c>
    </row>
    <row r="166" customFormat="false" ht="15" hidden="false" customHeight="false" outlineLevel="0" collapsed="false">
      <c r="A166" s="5" t="s">
        <v>47</v>
      </c>
      <c r="B166" s="5" t="s">
        <v>2339</v>
      </c>
      <c r="C166" s="5" t="s">
        <v>2340</v>
      </c>
      <c r="D166" s="5" t="s">
        <v>2341</v>
      </c>
      <c r="E166" s="5" t="s">
        <v>2253</v>
      </c>
      <c r="F166" s="5" t="s">
        <v>265</v>
      </c>
      <c r="G166" s="5" t="s">
        <v>345</v>
      </c>
      <c r="H166" s="5" t="n">
        <v>2</v>
      </c>
      <c r="I166" s="5" t="s">
        <v>1670</v>
      </c>
      <c r="J166" s="5" t="s">
        <v>2342</v>
      </c>
      <c r="K166" s="5" t="s">
        <v>2343</v>
      </c>
    </row>
    <row r="167" customFormat="false" ht="15" hidden="false" customHeight="false" outlineLevel="0" collapsed="false">
      <c r="A167" s="5" t="s">
        <v>66</v>
      </c>
      <c r="B167" s="5" t="s">
        <v>2344</v>
      </c>
      <c r="C167" s="5" t="s">
        <v>2345</v>
      </c>
      <c r="D167" s="5" t="s">
        <v>2346</v>
      </c>
      <c r="E167" s="5" t="s">
        <v>2253</v>
      </c>
      <c r="F167" s="5" t="s">
        <v>265</v>
      </c>
      <c r="G167" s="5" t="s">
        <v>345</v>
      </c>
      <c r="H167" s="5" t="n">
        <v>3</v>
      </c>
      <c r="I167" s="5" t="s">
        <v>1911</v>
      </c>
      <c r="J167" s="5" t="s">
        <v>2347</v>
      </c>
      <c r="K167" s="5" t="s">
        <v>2348</v>
      </c>
    </row>
    <row r="168" customFormat="false" ht="15" hidden="false" customHeight="false" outlineLevel="0" collapsed="false">
      <c r="A168" s="5" t="s">
        <v>83</v>
      </c>
      <c r="B168" s="5" t="s">
        <v>2349</v>
      </c>
      <c r="C168" s="5" t="s">
        <v>2350</v>
      </c>
      <c r="D168" s="5" t="s">
        <v>2351</v>
      </c>
      <c r="E168" s="5" t="s">
        <v>2253</v>
      </c>
      <c r="F168" s="5" t="s">
        <v>265</v>
      </c>
      <c r="G168" s="5" t="s">
        <v>436</v>
      </c>
      <c r="H168" s="5" t="n">
        <v>15</v>
      </c>
      <c r="I168" s="5" t="s">
        <v>2229</v>
      </c>
      <c r="J168" s="5" t="s">
        <v>2352</v>
      </c>
      <c r="K168" s="5" t="s">
        <v>2353</v>
      </c>
    </row>
    <row r="169" customFormat="false" ht="15" hidden="false" customHeight="false" outlineLevel="0" collapsed="false">
      <c r="A169" s="5" t="s">
        <v>43</v>
      </c>
      <c r="B169" s="5" t="s">
        <v>440</v>
      </c>
      <c r="C169" s="5" t="s">
        <v>2354</v>
      </c>
      <c r="D169" s="5" t="s">
        <v>2355</v>
      </c>
      <c r="E169" s="5" t="s">
        <v>2253</v>
      </c>
      <c r="F169" s="5" t="s">
        <v>265</v>
      </c>
      <c r="G169" s="5" t="s">
        <v>436</v>
      </c>
      <c r="H169" s="5" t="n">
        <v>2</v>
      </c>
      <c r="I169" s="5" t="s">
        <v>1858</v>
      </c>
      <c r="J169" s="5" t="s">
        <v>441</v>
      </c>
      <c r="K169" s="5" t="s">
        <v>442</v>
      </c>
    </row>
    <row r="170" customFormat="false" ht="15" hidden="false" customHeight="false" outlineLevel="0" collapsed="false">
      <c r="A170" s="5" t="s">
        <v>54</v>
      </c>
      <c r="B170" s="5" t="s">
        <v>2356</v>
      </c>
      <c r="C170" s="5" t="s">
        <v>2357</v>
      </c>
      <c r="D170" s="5" t="s">
        <v>2358</v>
      </c>
      <c r="E170" s="5" t="s">
        <v>2253</v>
      </c>
      <c r="F170" s="5" t="s">
        <v>265</v>
      </c>
      <c r="G170" s="5" t="s">
        <v>345</v>
      </c>
      <c r="H170" s="5" t="n">
        <v>4</v>
      </c>
      <c r="I170" s="5" t="s">
        <v>1709</v>
      </c>
      <c r="J170" s="5" t="s">
        <v>2359</v>
      </c>
      <c r="K170" s="5" t="s">
        <v>2360</v>
      </c>
    </row>
    <row r="171" customFormat="false" ht="15" hidden="false" customHeight="false" outlineLevel="0" collapsed="false">
      <c r="A171" s="5" t="s">
        <v>80</v>
      </c>
      <c r="B171" s="5" t="s">
        <v>1201</v>
      </c>
      <c r="C171" s="5" t="s">
        <v>2361</v>
      </c>
      <c r="D171" s="5" t="s">
        <v>2362</v>
      </c>
      <c r="E171" s="5" t="s">
        <v>2253</v>
      </c>
      <c r="F171" s="5" t="s">
        <v>104</v>
      </c>
      <c r="G171" s="5" t="s">
        <v>1202</v>
      </c>
      <c r="H171" s="5" t="n">
        <v>3</v>
      </c>
      <c r="I171" s="5" t="s">
        <v>2363</v>
      </c>
      <c r="J171" s="5" t="s">
        <v>1203</v>
      </c>
      <c r="K171" s="5" t="s">
        <v>1204</v>
      </c>
    </row>
    <row r="172" customFormat="false" ht="15" hidden="false" customHeight="false" outlineLevel="0" collapsed="false">
      <c r="A172" s="5" t="s">
        <v>95</v>
      </c>
      <c r="B172" s="5" t="s">
        <v>2364</v>
      </c>
      <c r="C172" s="5" t="s">
        <v>2365</v>
      </c>
      <c r="D172" s="5" t="s">
        <v>2366</v>
      </c>
      <c r="E172" s="5" t="s">
        <v>2253</v>
      </c>
      <c r="F172" s="5" t="s">
        <v>265</v>
      </c>
      <c r="G172" s="5" t="s">
        <v>345</v>
      </c>
      <c r="H172" s="5" t="n">
        <v>2</v>
      </c>
      <c r="I172" s="5" t="s">
        <v>1971</v>
      </c>
      <c r="J172" s="5" t="s">
        <v>2367</v>
      </c>
      <c r="K172" s="5" t="s">
        <v>2368</v>
      </c>
    </row>
    <row r="173" customFormat="false" ht="15" hidden="false" customHeight="false" outlineLevel="0" collapsed="false">
      <c r="A173" s="5" t="s">
        <v>43</v>
      </c>
      <c r="B173" s="5" t="s">
        <v>2369</v>
      </c>
      <c r="C173" s="5" t="s">
        <v>2370</v>
      </c>
      <c r="D173" s="5" t="s">
        <v>2371</v>
      </c>
      <c r="E173" s="5" t="s">
        <v>2253</v>
      </c>
      <c r="F173" s="5" t="s">
        <v>265</v>
      </c>
      <c r="G173" s="5" t="s">
        <v>345</v>
      </c>
      <c r="H173" s="5" t="n">
        <v>2</v>
      </c>
      <c r="I173" s="5" t="s">
        <v>1966</v>
      </c>
      <c r="J173" s="5" t="s">
        <v>2372</v>
      </c>
      <c r="K173" s="5" t="s">
        <v>2373</v>
      </c>
    </row>
    <row r="174" customFormat="false" ht="15" hidden="false" customHeight="false" outlineLevel="0" collapsed="false">
      <c r="A174" s="5" t="s">
        <v>98</v>
      </c>
      <c r="B174" s="5" t="s">
        <v>1554</v>
      </c>
      <c r="C174" s="5" t="s">
        <v>2374</v>
      </c>
      <c r="D174" s="5" t="s">
        <v>2375</v>
      </c>
      <c r="E174" s="5" t="s">
        <v>2253</v>
      </c>
      <c r="F174" s="5" t="s">
        <v>265</v>
      </c>
      <c r="G174" s="5" t="s">
        <v>345</v>
      </c>
      <c r="H174" s="5" t="n">
        <v>1</v>
      </c>
      <c r="I174" s="5" t="s">
        <v>1664</v>
      </c>
      <c r="J174" s="5" t="s">
        <v>1555</v>
      </c>
      <c r="K174" s="5" t="s">
        <v>1556</v>
      </c>
    </row>
    <row r="175" customFormat="false" ht="15" hidden="false" customHeight="false" outlineLevel="0" collapsed="false">
      <c r="A175" s="5" t="s">
        <v>69</v>
      </c>
      <c r="B175" s="5" t="s">
        <v>2376</v>
      </c>
      <c r="C175" s="5" t="s">
        <v>2377</v>
      </c>
      <c r="D175" s="5" t="s">
        <v>2378</v>
      </c>
      <c r="E175" s="5" t="s">
        <v>2253</v>
      </c>
      <c r="F175" s="5" t="s">
        <v>265</v>
      </c>
      <c r="G175" s="5" t="s">
        <v>345</v>
      </c>
      <c r="H175" s="5" t="n">
        <v>4</v>
      </c>
      <c r="I175" s="5" t="s">
        <v>1709</v>
      </c>
      <c r="J175" s="5" t="s">
        <v>2379</v>
      </c>
      <c r="K175" s="5" t="s">
        <v>2380</v>
      </c>
    </row>
    <row r="176" customFormat="false" ht="15" hidden="false" customHeight="false" outlineLevel="0" collapsed="false">
      <c r="A176" s="5" t="s">
        <v>92</v>
      </c>
      <c r="B176" s="5" t="s">
        <v>2381</v>
      </c>
      <c r="C176" s="5" t="s">
        <v>2382</v>
      </c>
      <c r="D176" s="5" t="s">
        <v>2383</v>
      </c>
      <c r="E176" s="5" t="s">
        <v>2253</v>
      </c>
      <c r="F176" s="5" t="s">
        <v>265</v>
      </c>
      <c r="G176" s="5" t="s">
        <v>345</v>
      </c>
      <c r="H176" s="5" t="n">
        <v>2</v>
      </c>
      <c r="I176" s="5" t="s">
        <v>1709</v>
      </c>
      <c r="J176" s="5" t="s">
        <v>2384</v>
      </c>
      <c r="K176" s="5" t="s">
        <v>2385</v>
      </c>
    </row>
    <row r="177" customFormat="false" ht="15" hidden="false" customHeight="false" outlineLevel="0" collapsed="false">
      <c r="A177" s="5" t="s">
        <v>66</v>
      </c>
      <c r="B177" s="5" t="s">
        <v>2386</v>
      </c>
      <c r="C177" s="5" t="s">
        <v>2387</v>
      </c>
      <c r="D177" s="5" t="s">
        <v>2388</v>
      </c>
      <c r="E177" s="5" t="s">
        <v>2253</v>
      </c>
      <c r="F177" s="5" t="s">
        <v>265</v>
      </c>
      <c r="G177" s="5" t="s">
        <v>345</v>
      </c>
      <c r="H177" s="5" t="n">
        <v>2</v>
      </c>
      <c r="I177" s="5" t="s">
        <v>1664</v>
      </c>
      <c r="J177" s="5" t="s">
        <v>2389</v>
      </c>
      <c r="K177" s="5" t="s">
        <v>2390</v>
      </c>
    </row>
    <row r="178" customFormat="false" ht="15" hidden="false" customHeight="false" outlineLevel="0" collapsed="false">
      <c r="A178" s="5" t="s">
        <v>63</v>
      </c>
      <c r="B178" s="5" t="s">
        <v>2391</v>
      </c>
      <c r="C178" s="5" t="s">
        <v>2392</v>
      </c>
      <c r="D178" s="5" t="s">
        <v>2393</v>
      </c>
      <c r="E178" s="5" t="s">
        <v>2253</v>
      </c>
      <c r="F178" s="5" t="s">
        <v>265</v>
      </c>
      <c r="G178" s="5" t="s">
        <v>345</v>
      </c>
      <c r="H178" s="5" t="n">
        <v>2</v>
      </c>
      <c r="I178" s="5" t="s">
        <v>1656</v>
      </c>
      <c r="J178" s="5" t="s">
        <v>2394</v>
      </c>
      <c r="K178" s="5" t="s">
        <v>2395</v>
      </c>
    </row>
    <row r="179" customFormat="false" ht="15" hidden="false" customHeight="false" outlineLevel="0" collapsed="false">
      <c r="A179" s="9" t="s">
        <v>101</v>
      </c>
      <c r="B179" s="9" t="s">
        <v>1586</v>
      </c>
      <c r="C179" s="9" t="s">
        <v>2396</v>
      </c>
      <c r="D179" s="9" t="s">
        <v>2397</v>
      </c>
      <c r="E179" s="9" t="s">
        <v>2253</v>
      </c>
      <c r="F179" s="9" t="s">
        <v>190</v>
      </c>
      <c r="G179" s="9" t="s">
        <v>695</v>
      </c>
      <c r="H179" s="9" t="n">
        <v>8</v>
      </c>
      <c r="I179" s="9" t="s">
        <v>1709</v>
      </c>
      <c r="J179" s="9" t="s">
        <v>1587</v>
      </c>
      <c r="K179" s="9" t="s">
        <v>1588</v>
      </c>
    </row>
    <row r="180" customFormat="false" ht="15" hidden="false" customHeight="false" outlineLevel="0" collapsed="false">
      <c r="A180" s="5" t="s">
        <v>54</v>
      </c>
      <c r="B180" s="5" t="s">
        <v>2398</v>
      </c>
      <c r="C180" s="5" t="s">
        <v>2399</v>
      </c>
      <c r="D180" s="5" t="s">
        <v>2400</v>
      </c>
      <c r="E180" s="5" t="s">
        <v>2253</v>
      </c>
      <c r="F180" s="5" t="s">
        <v>265</v>
      </c>
      <c r="G180" s="5" t="s">
        <v>345</v>
      </c>
      <c r="H180" s="5"/>
      <c r="I180" s="5" t="s">
        <v>1709</v>
      </c>
      <c r="J180" s="5" t="s">
        <v>2401</v>
      </c>
      <c r="K180" s="5" t="s">
        <v>2402</v>
      </c>
    </row>
    <row r="181" customFormat="false" ht="15" hidden="false" customHeight="false" outlineLevel="0" collapsed="false">
      <c r="A181" s="5" t="s">
        <v>54</v>
      </c>
      <c r="B181" s="5" t="s">
        <v>739</v>
      </c>
      <c r="C181" s="5" t="s">
        <v>2403</v>
      </c>
      <c r="D181" s="5" t="s">
        <v>2404</v>
      </c>
      <c r="E181" s="5" t="s">
        <v>2253</v>
      </c>
      <c r="F181" s="5" t="s">
        <v>265</v>
      </c>
      <c r="G181" s="5" t="s">
        <v>345</v>
      </c>
      <c r="H181" s="5" t="n">
        <v>4</v>
      </c>
      <c r="I181" s="5" t="s">
        <v>1882</v>
      </c>
      <c r="J181" s="5" t="s">
        <v>740</v>
      </c>
      <c r="K181" s="5" t="s">
        <v>741</v>
      </c>
    </row>
    <row r="182" customFormat="false" ht="15" hidden="false" customHeight="false" outlineLevel="0" collapsed="false">
      <c r="A182" s="5" t="s">
        <v>63</v>
      </c>
      <c r="B182" s="5" t="s">
        <v>2405</v>
      </c>
      <c r="C182" s="5" t="s">
        <v>2406</v>
      </c>
      <c r="D182" s="5" t="s">
        <v>2407</v>
      </c>
      <c r="E182" s="5" t="s">
        <v>2253</v>
      </c>
      <c r="F182" s="5" t="s">
        <v>265</v>
      </c>
      <c r="G182" s="5" t="s">
        <v>345</v>
      </c>
      <c r="H182" s="5" t="n">
        <v>2</v>
      </c>
      <c r="I182" s="5" t="s">
        <v>1709</v>
      </c>
      <c r="J182" s="5" t="s">
        <v>2408</v>
      </c>
      <c r="K182" s="5" t="s">
        <v>2409</v>
      </c>
    </row>
    <row r="183" customFormat="false" ht="15" hidden="false" customHeight="false" outlineLevel="0" collapsed="false">
      <c r="A183" s="5" t="s">
        <v>95</v>
      </c>
      <c r="B183" s="5" t="s">
        <v>2410</v>
      </c>
      <c r="C183" s="5" t="s">
        <v>2411</v>
      </c>
      <c r="D183" s="5" t="s">
        <v>2412</v>
      </c>
      <c r="E183" s="5" t="s">
        <v>2253</v>
      </c>
      <c r="F183" s="5" t="s">
        <v>265</v>
      </c>
      <c r="G183" s="5" t="s">
        <v>345</v>
      </c>
      <c r="H183" s="5" t="n">
        <v>7</v>
      </c>
      <c r="I183" s="5" t="s">
        <v>1829</v>
      </c>
      <c r="J183" s="5" t="s">
        <v>2413</v>
      </c>
      <c r="K183" s="5" t="s">
        <v>2414</v>
      </c>
    </row>
    <row r="184" customFormat="false" ht="15" hidden="false" customHeight="false" outlineLevel="0" collapsed="false">
      <c r="A184" s="5" t="s">
        <v>92</v>
      </c>
      <c r="B184" s="5" t="s">
        <v>1455</v>
      </c>
      <c r="C184" s="5" t="s">
        <v>2415</v>
      </c>
      <c r="D184" s="5" t="s">
        <v>2416</v>
      </c>
      <c r="E184" s="5" t="s">
        <v>2253</v>
      </c>
      <c r="F184" s="5" t="s">
        <v>265</v>
      </c>
      <c r="G184" s="5" t="s">
        <v>436</v>
      </c>
      <c r="H184" s="5" t="n">
        <v>5</v>
      </c>
      <c r="I184" s="5" t="s">
        <v>1811</v>
      </c>
      <c r="J184" s="5" t="s">
        <v>1456</v>
      </c>
      <c r="K184" s="5" t="s">
        <v>1457</v>
      </c>
    </row>
    <row r="185" customFormat="false" ht="15" hidden="false" customHeight="false" outlineLevel="0" collapsed="false">
      <c r="A185" s="5" t="s">
        <v>75</v>
      </c>
      <c r="B185" s="5" t="s">
        <v>2417</v>
      </c>
      <c r="C185" s="5" t="s">
        <v>2418</v>
      </c>
      <c r="D185" s="5" t="s">
        <v>2419</v>
      </c>
      <c r="E185" s="5" t="s">
        <v>2253</v>
      </c>
      <c r="F185" s="5" t="s">
        <v>265</v>
      </c>
      <c r="G185" s="5" t="s">
        <v>584</v>
      </c>
      <c r="H185" s="5" t="n">
        <v>4</v>
      </c>
      <c r="I185" s="5" t="s">
        <v>1656</v>
      </c>
      <c r="J185" s="5" t="s">
        <v>2420</v>
      </c>
      <c r="K185" s="5" t="s">
        <v>2421</v>
      </c>
    </row>
    <row r="186" customFormat="false" ht="15" hidden="false" customHeight="false" outlineLevel="0" collapsed="false">
      <c r="A186" s="5" t="s">
        <v>43</v>
      </c>
      <c r="B186" s="5" t="s">
        <v>2422</v>
      </c>
      <c r="C186" s="5" t="s">
        <v>2423</v>
      </c>
      <c r="D186" s="5" t="s">
        <v>2424</v>
      </c>
      <c r="E186" s="5" t="s">
        <v>2253</v>
      </c>
      <c r="F186" s="5" t="s">
        <v>265</v>
      </c>
      <c r="G186" s="5" t="s">
        <v>345</v>
      </c>
      <c r="H186" s="5" t="n">
        <v>2</v>
      </c>
      <c r="I186" s="5" t="s">
        <v>1709</v>
      </c>
      <c r="J186" s="5" t="s">
        <v>2425</v>
      </c>
      <c r="K186" s="5" t="s">
        <v>2426</v>
      </c>
    </row>
    <row r="187" customFormat="false" ht="15" hidden="false" customHeight="false" outlineLevel="0" collapsed="false">
      <c r="A187" s="5" t="s">
        <v>47</v>
      </c>
      <c r="B187" s="5" t="s">
        <v>583</v>
      </c>
      <c r="C187" s="5" t="s">
        <v>2427</v>
      </c>
      <c r="D187" s="5" t="s">
        <v>2428</v>
      </c>
      <c r="E187" s="5" t="s">
        <v>2253</v>
      </c>
      <c r="F187" s="5" t="s">
        <v>265</v>
      </c>
      <c r="G187" s="5" t="s">
        <v>584</v>
      </c>
      <c r="H187" s="5" t="n">
        <v>1</v>
      </c>
      <c r="I187" s="5" t="s">
        <v>2429</v>
      </c>
      <c r="J187" s="5" t="s">
        <v>585</v>
      </c>
      <c r="K187" s="5" t="s">
        <v>586</v>
      </c>
    </row>
    <row r="188" customFormat="false" ht="15" hidden="false" customHeight="false" outlineLevel="0" collapsed="false">
      <c r="A188" s="5" t="s">
        <v>95</v>
      </c>
      <c r="B188" s="5" t="s">
        <v>2430</v>
      </c>
      <c r="C188" s="5" t="s">
        <v>2431</v>
      </c>
      <c r="D188" s="5" t="s">
        <v>2432</v>
      </c>
      <c r="E188" s="5" t="s">
        <v>2253</v>
      </c>
      <c r="F188" s="5" t="s">
        <v>265</v>
      </c>
      <c r="G188" s="5" t="s">
        <v>345</v>
      </c>
      <c r="H188" s="5" t="n">
        <v>3</v>
      </c>
      <c r="I188" s="5" t="s">
        <v>1829</v>
      </c>
      <c r="J188" s="5" t="s">
        <v>2433</v>
      </c>
      <c r="K188" s="5" t="s">
        <v>2434</v>
      </c>
    </row>
    <row r="189" customFormat="false" ht="15" hidden="false" customHeight="false" outlineLevel="0" collapsed="false">
      <c r="A189" s="5" t="s">
        <v>51</v>
      </c>
      <c r="B189" s="5" t="s">
        <v>2435</v>
      </c>
      <c r="C189" s="5" t="s">
        <v>2436</v>
      </c>
      <c r="D189" s="5" t="s">
        <v>2437</v>
      </c>
      <c r="E189" s="5" t="s">
        <v>2253</v>
      </c>
      <c r="F189" s="5" t="s">
        <v>265</v>
      </c>
      <c r="G189" s="5" t="s">
        <v>436</v>
      </c>
      <c r="H189" s="5" t="n">
        <v>3</v>
      </c>
      <c r="I189" s="5" t="s">
        <v>1747</v>
      </c>
      <c r="J189" s="5" t="s">
        <v>2438</v>
      </c>
      <c r="K189" s="5" t="s">
        <v>2439</v>
      </c>
    </row>
    <row r="190" customFormat="false" ht="15" hidden="false" customHeight="false" outlineLevel="0" collapsed="false">
      <c r="A190" s="5" t="s">
        <v>63</v>
      </c>
      <c r="B190" s="5" t="s">
        <v>2440</v>
      </c>
      <c r="C190" s="5" t="s">
        <v>2441</v>
      </c>
      <c r="D190" s="5" t="s">
        <v>2442</v>
      </c>
      <c r="E190" s="5" t="s">
        <v>2253</v>
      </c>
      <c r="F190" s="5" t="s">
        <v>265</v>
      </c>
      <c r="G190" s="5" t="s">
        <v>345</v>
      </c>
      <c r="H190" s="5" t="n">
        <v>3</v>
      </c>
      <c r="I190" s="5" t="s">
        <v>1656</v>
      </c>
      <c r="J190" s="5" t="s">
        <v>2443</v>
      </c>
      <c r="K190" s="5" t="s">
        <v>2444</v>
      </c>
    </row>
    <row r="191" customFormat="false" ht="15" hidden="false" customHeight="false" outlineLevel="0" collapsed="false">
      <c r="A191" s="5" t="s">
        <v>86</v>
      </c>
      <c r="B191" s="5" t="s">
        <v>2445</v>
      </c>
      <c r="C191" s="5" t="s">
        <v>2446</v>
      </c>
      <c r="D191" s="5" t="s">
        <v>2447</v>
      </c>
      <c r="E191" s="5" t="s">
        <v>2253</v>
      </c>
      <c r="F191" s="5" t="s">
        <v>104</v>
      </c>
      <c r="G191" s="5" t="s">
        <v>735</v>
      </c>
      <c r="H191" s="5" t="n">
        <v>3</v>
      </c>
      <c r="I191" s="5" t="s">
        <v>2248</v>
      </c>
      <c r="J191" s="5" t="s">
        <v>2448</v>
      </c>
      <c r="K191" s="5" t="s">
        <v>2449</v>
      </c>
    </row>
    <row r="192" customFormat="false" ht="15" hidden="false" customHeight="false" outlineLevel="0" collapsed="false">
      <c r="A192" s="5" t="s">
        <v>75</v>
      </c>
      <c r="B192" s="5" t="s">
        <v>2450</v>
      </c>
      <c r="C192" s="5" t="s">
        <v>2451</v>
      </c>
      <c r="D192" s="5" t="s">
        <v>2452</v>
      </c>
      <c r="E192" s="5" t="s">
        <v>2253</v>
      </c>
      <c r="F192" s="5" t="s">
        <v>265</v>
      </c>
      <c r="G192" s="5" t="s">
        <v>345</v>
      </c>
      <c r="H192" s="5" t="n">
        <v>2</v>
      </c>
      <c r="I192" s="5" t="s">
        <v>1709</v>
      </c>
      <c r="J192" s="5" t="s">
        <v>2453</v>
      </c>
      <c r="K192" s="5" t="s">
        <v>2454</v>
      </c>
    </row>
    <row r="193" customFormat="false" ht="15" hidden="false" customHeight="false" outlineLevel="0" collapsed="false">
      <c r="A193" s="5" t="s">
        <v>86</v>
      </c>
      <c r="B193" s="5" t="s">
        <v>2455</v>
      </c>
      <c r="C193" s="5" t="s">
        <v>2456</v>
      </c>
      <c r="D193" s="5" t="s">
        <v>2457</v>
      </c>
      <c r="E193" s="5" t="s">
        <v>2253</v>
      </c>
      <c r="F193" s="5" t="s">
        <v>265</v>
      </c>
      <c r="G193" s="5" t="s">
        <v>345</v>
      </c>
      <c r="H193" s="5" t="n">
        <v>2</v>
      </c>
      <c r="I193" s="5" t="s">
        <v>2292</v>
      </c>
      <c r="J193" s="5" t="s">
        <v>2458</v>
      </c>
      <c r="K193" s="5" t="s">
        <v>2459</v>
      </c>
    </row>
    <row r="194" customFormat="false" ht="15" hidden="false" customHeight="false" outlineLevel="0" collapsed="false">
      <c r="A194" s="5" t="s">
        <v>83</v>
      </c>
      <c r="B194" s="5" t="s">
        <v>2460</v>
      </c>
      <c r="C194" s="5" t="s">
        <v>2461</v>
      </c>
      <c r="D194" s="5" t="s">
        <v>2462</v>
      </c>
      <c r="E194" s="5" t="s">
        <v>2253</v>
      </c>
      <c r="F194" s="5" t="s">
        <v>265</v>
      </c>
      <c r="G194" s="5" t="s">
        <v>584</v>
      </c>
      <c r="H194" s="5" t="n">
        <v>4</v>
      </c>
      <c r="I194" s="5" t="s">
        <v>1800</v>
      </c>
      <c r="J194" s="5" t="s">
        <v>2463</v>
      </c>
      <c r="K194" s="5" t="s">
        <v>2464</v>
      </c>
    </row>
    <row r="195" customFormat="false" ht="15" hidden="false" customHeight="false" outlineLevel="0" collapsed="false">
      <c r="A195" s="5" t="s">
        <v>46</v>
      </c>
      <c r="B195" s="5" t="s">
        <v>514</v>
      </c>
      <c r="C195" s="5" t="s">
        <v>2465</v>
      </c>
      <c r="D195" s="5" t="s">
        <v>2466</v>
      </c>
      <c r="E195" s="5" t="s">
        <v>2253</v>
      </c>
      <c r="F195" s="5" t="s">
        <v>265</v>
      </c>
      <c r="G195" s="5" t="s">
        <v>345</v>
      </c>
      <c r="H195" s="5" t="n">
        <v>3</v>
      </c>
      <c r="I195" s="5" t="s">
        <v>2467</v>
      </c>
      <c r="J195" s="5" t="s">
        <v>515</v>
      </c>
      <c r="K195" s="5" t="s">
        <v>516</v>
      </c>
    </row>
    <row r="196" customFormat="false" ht="15" hidden="false" customHeight="false" outlineLevel="0" collapsed="false">
      <c r="A196" s="5" t="s">
        <v>69</v>
      </c>
      <c r="B196" s="5" t="s">
        <v>2468</v>
      </c>
      <c r="C196" s="5" t="s">
        <v>2469</v>
      </c>
      <c r="D196" s="5" t="s">
        <v>2470</v>
      </c>
      <c r="E196" s="5" t="s">
        <v>2253</v>
      </c>
      <c r="F196" s="5" t="s">
        <v>265</v>
      </c>
      <c r="G196" s="5" t="s">
        <v>345</v>
      </c>
      <c r="H196" s="5" t="n">
        <v>3</v>
      </c>
      <c r="I196" s="5" t="s">
        <v>1664</v>
      </c>
      <c r="J196" s="5" t="s">
        <v>2471</v>
      </c>
      <c r="K196" s="5" t="s">
        <v>2472</v>
      </c>
    </row>
    <row r="197" customFormat="false" ht="15" hidden="false" customHeight="false" outlineLevel="0" collapsed="false">
      <c r="A197" s="5" t="s">
        <v>54</v>
      </c>
      <c r="B197" s="5" t="s">
        <v>747</v>
      </c>
      <c r="C197" s="5" t="s">
        <v>2473</v>
      </c>
      <c r="D197" s="5" t="s">
        <v>2474</v>
      </c>
      <c r="E197" s="5" t="s">
        <v>2253</v>
      </c>
      <c r="F197" s="5" t="s">
        <v>265</v>
      </c>
      <c r="G197" s="5" t="s">
        <v>345</v>
      </c>
      <c r="H197" s="5" t="n">
        <v>4</v>
      </c>
      <c r="I197" s="5" t="s">
        <v>1882</v>
      </c>
      <c r="J197" s="5" t="s">
        <v>748</v>
      </c>
      <c r="K197" s="5" t="s">
        <v>749</v>
      </c>
    </row>
    <row r="198" customFormat="false" ht="15" hidden="false" customHeight="false" outlineLevel="0" collapsed="false">
      <c r="A198" s="5" t="s">
        <v>66</v>
      </c>
      <c r="B198" s="5" t="s">
        <v>2475</v>
      </c>
      <c r="C198" s="5" t="s">
        <v>2476</v>
      </c>
      <c r="D198" s="5" t="s">
        <v>2477</v>
      </c>
      <c r="E198" s="5" t="s">
        <v>2253</v>
      </c>
      <c r="F198" s="5" t="s">
        <v>265</v>
      </c>
      <c r="G198" s="5" t="s">
        <v>436</v>
      </c>
      <c r="H198" s="5" t="n">
        <v>3</v>
      </c>
      <c r="I198" s="5" t="s">
        <v>1911</v>
      </c>
      <c r="J198" s="5" t="s">
        <v>2478</v>
      </c>
      <c r="K198" s="5" t="s">
        <v>2479</v>
      </c>
    </row>
    <row r="199" customFormat="false" ht="15" hidden="false" customHeight="false" outlineLevel="0" collapsed="false">
      <c r="A199" s="5" t="s">
        <v>75</v>
      </c>
      <c r="B199" s="5" t="s">
        <v>2480</v>
      </c>
      <c r="C199" s="5" t="s">
        <v>2481</v>
      </c>
      <c r="D199" s="5" t="s">
        <v>2482</v>
      </c>
      <c r="E199" s="5" t="s">
        <v>2253</v>
      </c>
      <c r="F199" s="5" t="s">
        <v>265</v>
      </c>
      <c r="G199" s="5" t="s">
        <v>345</v>
      </c>
      <c r="H199" s="5" t="n">
        <v>2</v>
      </c>
      <c r="I199" s="5" t="s">
        <v>1656</v>
      </c>
      <c r="J199" s="5" t="s">
        <v>2483</v>
      </c>
      <c r="K199" s="5" t="s">
        <v>2484</v>
      </c>
    </row>
    <row r="200" customFormat="false" ht="15" hidden="false" customHeight="false" outlineLevel="0" collapsed="false">
      <c r="A200" s="5" t="s">
        <v>95</v>
      </c>
      <c r="B200" s="5" t="s">
        <v>2485</v>
      </c>
      <c r="C200" s="5" t="s">
        <v>2486</v>
      </c>
      <c r="D200" s="5" t="s">
        <v>2487</v>
      </c>
      <c r="E200" s="5" t="s">
        <v>2253</v>
      </c>
      <c r="F200" s="5" t="s">
        <v>265</v>
      </c>
      <c r="G200" s="5" t="s">
        <v>345</v>
      </c>
      <c r="H200" s="5" t="n">
        <v>1</v>
      </c>
      <c r="I200" s="5" t="s">
        <v>1876</v>
      </c>
      <c r="J200" s="5" t="s">
        <v>2488</v>
      </c>
      <c r="K200" s="5" t="s">
        <v>2489</v>
      </c>
    </row>
    <row r="201" customFormat="false" ht="15" hidden="false" customHeight="false" outlineLevel="0" collapsed="false">
      <c r="A201" s="5" t="s">
        <v>66</v>
      </c>
      <c r="B201" s="5" t="s">
        <v>2490</v>
      </c>
      <c r="C201" s="5" t="s">
        <v>2491</v>
      </c>
      <c r="D201" s="5" t="s">
        <v>2492</v>
      </c>
      <c r="E201" s="5" t="s">
        <v>2253</v>
      </c>
      <c r="F201" s="5" t="s">
        <v>265</v>
      </c>
      <c r="G201" s="5" t="s">
        <v>345</v>
      </c>
      <c r="H201" s="5" t="n">
        <v>16</v>
      </c>
      <c r="I201" s="5" t="s">
        <v>1656</v>
      </c>
      <c r="J201" s="5" t="s">
        <v>2493</v>
      </c>
      <c r="K201" s="5" t="s">
        <v>2494</v>
      </c>
    </row>
    <row r="202" customFormat="false" ht="15" hidden="false" customHeight="false" outlineLevel="0" collapsed="false">
      <c r="A202" s="5" t="s">
        <v>92</v>
      </c>
      <c r="B202" s="5" t="s">
        <v>2495</v>
      </c>
      <c r="C202" s="5" t="s">
        <v>2496</v>
      </c>
      <c r="D202" s="5" t="s">
        <v>2497</v>
      </c>
      <c r="E202" s="5" t="s">
        <v>2253</v>
      </c>
      <c r="F202" s="5" t="s">
        <v>265</v>
      </c>
      <c r="G202" s="5" t="s">
        <v>345</v>
      </c>
      <c r="H202" s="5" t="n">
        <v>4</v>
      </c>
      <c r="I202" s="5" t="s">
        <v>1811</v>
      </c>
      <c r="J202" s="5" t="s">
        <v>2498</v>
      </c>
      <c r="K202" s="5" t="s">
        <v>2499</v>
      </c>
    </row>
    <row r="203" customFormat="false" ht="15" hidden="false" customHeight="false" outlineLevel="0" collapsed="false">
      <c r="A203" s="5" t="s">
        <v>40</v>
      </c>
      <c r="B203" s="5" t="s">
        <v>2500</v>
      </c>
      <c r="C203" s="5" t="s">
        <v>2501</v>
      </c>
      <c r="D203" s="5" t="s">
        <v>2502</v>
      </c>
      <c r="E203" s="5" t="s">
        <v>2253</v>
      </c>
      <c r="F203" s="5" t="s">
        <v>265</v>
      </c>
      <c r="G203" s="5" t="s">
        <v>345</v>
      </c>
      <c r="H203" s="5" t="n">
        <v>3</v>
      </c>
      <c r="I203" s="5" t="s">
        <v>1670</v>
      </c>
      <c r="J203" s="5" t="s">
        <v>2503</v>
      </c>
      <c r="K203" s="5" t="s">
        <v>2504</v>
      </c>
    </row>
    <row r="204" customFormat="false" ht="15" hidden="false" customHeight="false" outlineLevel="0" collapsed="false">
      <c r="A204" s="5" t="s">
        <v>95</v>
      </c>
      <c r="B204" s="5" t="s">
        <v>1495</v>
      </c>
      <c r="C204" s="5" t="s">
        <v>2505</v>
      </c>
      <c r="D204" s="5" t="s">
        <v>2506</v>
      </c>
      <c r="E204" s="5" t="s">
        <v>2253</v>
      </c>
      <c r="F204" s="5" t="s">
        <v>265</v>
      </c>
      <c r="G204" s="5" t="s">
        <v>382</v>
      </c>
      <c r="H204" s="5" t="n">
        <v>4</v>
      </c>
      <c r="I204" s="5" t="s">
        <v>1635</v>
      </c>
      <c r="J204" s="5" t="s">
        <v>1496</v>
      </c>
      <c r="K204" s="5" t="s">
        <v>1497</v>
      </c>
    </row>
    <row r="205" customFormat="false" ht="15" hidden="false" customHeight="false" outlineLevel="0" collapsed="false">
      <c r="A205" s="5" t="s">
        <v>51</v>
      </c>
      <c r="B205" s="5" t="s">
        <v>2507</v>
      </c>
      <c r="C205" s="5" t="s">
        <v>2508</v>
      </c>
      <c r="D205" s="5" t="s">
        <v>2509</v>
      </c>
      <c r="E205" s="5" t="s">
        <v>2253</v>
      </c>
      <c r="F205" s="5" t="s">
        <v>265</v>
      </c>
      <c r="G205" s="5" t="s">
        <v>345</v>
      </c>
      <c r="H205" s="5"/>
      <c r="I205" s="5" t="s">
        <v>1971</v>
      </c>
      <c r="J205" s="5" t="s">
        <v>2510</v>
      </c>
      <c r="K205" s="5" t="s">
        <v>2511</v>
      </c>
    </row>
    <row r="206" customFormat="false" ht="15" hidden="false" customHeight="false" outlineLevel="0" collapsed="false">
      <c r="A206" s="5" t="s">
        <v>69</v>
      </c>
      <c r="B206" s="5" t="s">
        <v>2512</v>
      </c>
      <c r="C206" s="5" t="s">
        <v>2513</v>
      </c>
      <c r="D206" s="5" t="s">
        <v>2514</v>
      </c>
      <c r="E206" s="5" t="s">
        <v>2253</v>
      </c>
      <c r="F206" s="5" t="s">
        <v>265</v>
      </c>
      <c r="G206" s="5" t="s">
        <v>345</v>
      </c>
      <c r="H206" s="5" t="n">
        <v>2</v>
      </c>
      <c r="I206" s="5" t="s">
        <v>1747</v>
      </c>
      <c r="J206" s="5" t="s">
        <v>2515</v>
      </c>
      <c r="K206" s="5" t="s">
        <v>2516</v>
      </c>
    </row>
    <row r="207" customFormat="false" ht="15" hidden="false" customHeight="false" outlineLevel="0" collapsed="false">
      <c r="A207" s="5" t="s">
        <v>46</v>
      </c>
      <c r="B207" s="5" t="s">
        <v>526</v>
      </c>
      <c r="C207" s="5" t="s">
        <v>2517</v>
      </c>
      <c r="D207" s="5" t="s">
        <v>2518</v>
      </c>
      <c r="E207" s="5" t="s">
        <v>2253</v>
      </c>
      <c r="F207" s="5" t="s">
        <v>104</v>
      </c>
      <c r="G207" s="5"/>
      <c r="H207" s="5" t="n">
        <v>2</v>
      </c>
      <c r="I207" s="5" t="s">
        <v>1640</v>
      </c>
      <c r="J207" s="5" t="s">
        <v>527</v>
      </c>
      <c r="K207" s="5" t="s">
        <v>528</v>
      </c>
    </row>
    <row r="208" customFormat="false" ht="15" hidden="false" customHeight="false" outlineLevel="0" collapsed="false">
      <c r="A208" s="5" t="s">
        <v>75</v>
      </c>
      <c r="B208" s="5" t="s">
        <v>2519</v>
      </c>
      <c r="C208" s="5" t="s">
        <v>2520</v>
      </c>
      <c r="D208" s="5" t="s">
        <v>2521</v>
      </c>
      <c r="E208" s="5" t="s">
        <v>2253</v>
      </c>
      <c r="F208" s="5" t="s">
        <v>265</v>
      </c>
      <c r="G208" s="5" t="s">
        <v>345</v>
      </c>
      <c r="H208" s="5" t="n">
        <v>1</v>
      </c>
      <c r="I208" s="5" t="s">
        <v>1709</v>
      </c>
      <c r="J208" s="5" t="s">
        <v>2522</v>
      </c>
      <c r="K208" s="5" t="s">
        <v>2523</v>
      </c>
    </row>
    <row r="209" customFormat="false" ht="15" hidden="false" customHeight="false" outlineLevel="0" collapsed="false">
      <c r="A209" s="5" t="s">
        <v>47</v>
      </c>
      <c r="B209" s="5" t="s">
        <v>2524</v>
      </c>
      <c r="C209" s="5" t="s">
        <v>2525</v>
      </c>
      <c r="D209" s="5" t="s">
        <v>2526</v>
      </c>
      <c r="E209" s="5" t="s">
        <v>2253</v>
      </c>
      <c r="F209" s="5" t="s">
        <v>265</v>
      </c>
      <c r="G209" s="5" t="s">
        <v>345</v>
      </c>
      <c r="H209" s="5" t="n">
        <v>2</v>
      </c>
      <c r="I209" s="5" t="s">
        <v>1670</v>
      </c>
      <c r="J209" s="5" t="s">
        <v>2527</v>
      </c>
      <c r="K209" s="5" t="s">
        <v>2528</v>
      </c>
    </row>
    <row r="210" customFormat="false" ht="15" hidden="false" customHeight="false" outlineLevel="0" collapsed="false">
      <c r="A210" s="5" t="s">
        <v>60</v>
      </c>
      <c r="B210" s="5" t="s">
        <v>2529</v>
      </c>
      <c r="C210" s="5" t="s">
        <v>2530</v>
      </c>
      <c r="D210" s="5" t="s">
        <v>2531</v>
      </c>
      <c r="E210" s="5" t="s">
        <v>2253</v>
      </c>
      <c r="F210" s="5" t="s">
        <v>265</v>
      </c>
      <c r="G210" s="5" t="s">
        <v>345</v>
      </c>
      <c r="H210" s="5" t="n">
        <v>3</v>
      </c>
      <c r="I210" s="5" t="s">
        <v>1760</v>
      </c>
      <c r="J210" s="5" t="s">
        <v>2532</v>
      </c>
      <c r="K210" s="5" t="s">
        <v>2533</v>
      </c>
    </row>
    <row r="211" customFormat="false" ht="15" hidden="false" customHeight="false" outlineLevel="0" collapsed="false">
      <c r="A211" s="5" t="s">
        <v>46</v>
      </c>
      <c r="B211" s="5" t="s">
        <v>2534</v>
      </c>
      <c r="C211" s="5" t="s">
        <v>2535</v>
      </c>
      <c r="D211" s="5" t="s">
        <v>2536</v>
      </c>
      <c r="E211" s="5" t="s">
        <v>2253</v>
      </c>
      <c r="F211" s="5" t="s">
        <v>265</v>
      </c>
      <c r="G211" s="5" t="s">
        <v>345</v>
      </c>
      <c r="H211" s="5" t="n">
        <v>2</v>
      </c>
      <c r="I211" s="5" t="s">
        <v>2537</v>
      </c>
      <c r="J211" s="5" t="s">
        <v>2538</v>
      </c>
      <c r="K211" s="5" t="s">
        <v>2539</v>
      </c>
    </row>
    <row r="212" customFormat="false" ht="15" hidden="false" customHeight="false" outlineLevel="0" collapsed="false">
      <c r="A212" s="5" t="s">
        <v>72</v>
      </c>
      <c r="B212" s="5" t="s">
        <v>1077</v>
      </c>
      <c r="C212" s="5" t="s">
        <v>2540</v>
      </c>
      <c r="D212" s="5" t="s">
        <v>2541</v>
      </c>
      <c r="E212" s="5" t="s">
        <v>2253</v>
      </c>
      <c r="F212" s="5" t="s">
        <v>104</v>
      </c>
      <c r="G212" s="5"/>
      <c r="H212" s="5" t="n">
        <v>2</v>
      </c>
      <c r="I212" s="5" t="s">
        <v>1656</v>
      </c>
      <c r="J212" s="5" t="s">
        <v>1078</v>
      </c>
      <c r="K212" s="5" t="s">
        <v>1079</v>
      </c>
    </row>
    <row r="213" customFormat="false" ht="15" hidden="false" customHeight="false" outlineLevel="0" collapsed="false">
      <c r="A213" s="5" t="s">
        <v>54</v>
      </c>
      <c r="B213" s="5" t="s">
        <v>2542</v>
      </c>
      <c r="C213" s="5" t="s">
        <v>2543</v>
      </c>
      <c r="D213" s="5" t="s">
        <v>2544</v>
      </c>
      <c r="E213" s="5" t="s">
        <v>2253</v>
      </c>
      <c r="F213" s="5" t="s">
        <v>104</v>
      </c>
      <c r="G213" s="5"/>
      <c r="H213" s="5" t="n">
        <v>5</v>
      </c>
      <c r="I213" s="5" t="s">
        <v>1882</v>
      </c>
      <c r="J213" s="5" t="s">
        <v>2545</v>
      </c>
      <c r="K213" s="5" t="s">
        <v>2546</v>
      </c>
    </row>
    <row r="214" customFormat="false" ht="15" hidden="false" customHeight="false" outlineLevel="0" collapsed="false">
      <c r="A214" s="5" t="s">
        <v>43</v>
      </c>
      <c r="B214" s="5" t="s">
        <v>2547</v>
      </c>
      <c r="C214" s="5" t="s">
        <v>2548</v>
      </c>
      <c r="D214" s="5" t="s">
        <v>2549</v>
      </c>
      <c r="E214" s="5" t="s">
        <v>2253</v>
      </c>
      <c r="F214" s="5" t="s">
        <v>265</v>
      </c>
      <c r="G214" s="5" t="s">
        <v>345</v>
      </c>
      <c r="H214" s="5" t="n">
        <v>2</v>
      </c>
      <c r="I214" s="5" t="s">
        <v>2550</v>
      </c>
      <c r="J214" s="5" t="s">
        <v>2551</v>
      </c>
      <c r="K214" s="5" t="s">
        <v>2552</v>
      </c>
    </row>
    <row r="215" customFormat="false" ht="15" hidden="false" customHeight="false" outlineLevel="0" collapsed="false">
      <c r="A215" s="5" t="s">
        <v>95</v>
      </c>
      <c r="B215" s="5" t="s">
        <v>2553</v>
      </c>
      <c r="C215" s="5" t="s">
        <v>2554</v>
      </c>
      <c r="D215" s="5" t="s">
        <v>2555</v>
      </c>
      <c r="E215" s="5" t="s">
        <v>2253</v>
      </c>
      <c r="F215" s="5" t="s">
        <v>265</v>
      </c>
      <c r="G215" s="5" t="s">
        <v>345</v>
      </c>
      <c r="H215" s="5" t="n">
        <v>4</v>
      </c>
      <c r="I215" s="5" t="s">
        <v>2208</v>
      </c>
      <c r="J215" s="5" t="s">
        <v>2556</v>
      </c>
      <c r="K215" s="5" t="s">
        <v>2557</v>
      </c>
    </row>
    <row r="216" customFormat="false" ht="15" hidden="false" customHeight="false" outlineLevel="0" collapsed="false">
      <c r="A216" s="5" t="s">
        <v>89</v>
      </c>
      <c r="B216" s="5" t="s">
        <v>2558</v>
      </c>
      <c r="C216" s="5" t="s">
        <v>2559</v>
      </c>
      <c r="D216" s="5" t="s">
        <v>2560</v>
      </c>
      <c r="E216" s="5" t="s">
        <v>2253</v>
      </c>
      <c r="F216" s="5" t="s">
        <v>265</v>
      </c>
      <c r="G216" s="5" t="s">
        <v>436</v>
      </c>
      <c r="H216" s="5" t="n">
        <v>2</v>
      </c>
      <c r="I216" s="5" t="s">
        <v>1694</v>
      </c>
      <c r="J216" s="5" t="s">
        <v>2561</v>
      </c>
      <c r="K216" s="5" t="s">
        <v>2562</v>
      </c>
    </row>
    <row r="217" customFormat="false" ht="15" hidden="false" customHeight="false" outlineLevel="0" collapsed="false">
      <c r="A217" s="5" t="s">
        <v>46</v>
      </c>
      <c r="B217" s="5" t="s">
        <v>2563</v>
      </c>
      <c r="C217" s="5" t="s">
        <v>2564</v>
      </c>
      <c r="D217" s="5" t="s">
        <v>2565</v>
      </c>
      <c r="E217" s="5" t="s">
        <v>2253</v>
      </c>
      <c r="F217" s="5" t="s">
        <v>104</v>
      </c>
      <c r="G217" s="5"/>
      <c r="H217" s="5" t="n">
        <v>3</v>
      </c>
      <c r="I217" s="5" t="s">
        <v>1640</v>
      </c>
      <c r="J217" s="5" t="s">
        <v>2566</v>
      </c>
      <c r="K217" s="5" t="s">
        <v>2567</v>
      </c>
    </row>
    <row r="218" customFormat="false" ht="15" hidden="false" customHeight="false" outlineLevel="0" collapsed="false">
      <c r="A218" s="5" t="s">
        <v>83</v>
      </c>
      <c r="B218" s="5" t="s">
        <v>2568</v>
      </c>
      <c r="C218" s="5" t="s">
        <v>2569</v>
      </c>
      <c r="D218" s="5" t="s">
        <v>2570</v>
      </c>
      <c r="E218" s="5" t="s">
        <v>2253</v>
      </c>
      <c r="F218" s="5" t="s">
        <v>265</v>
      </c>
      <c r="G218" s="5" t="s">
        <v>775</v>
      </c>
      <c r="H218" s="5" t="n">
        <v>5</v>
      </c>
      <c r="I218" s="5" t="s">
        <v>2229</v>
      </c>
      <c r="J218" s="5" t="s">
        <v>2571</v>
      </c>
      <c r="K218" s="5" t="s">
        <v>2572</v>
      </c>
    </row>
    <row r="219" customFormat="false" ht="15" hidden="false" customHeight="false" outlineLevel="0" collapsed="false">
      <c r="A219" s="5" t="s">
        <v>83</v>
      </c>
      <c r="B219" s="5" t="s">
        <v>2573</v>
      </c>
      <c r="C219" s="5" t="s">
        <v>2574</v>
      </c>
      <c r="D219" s="5" t="s">
        <v>2575</v>
      </c>
      <c r="E219" s="5" t="s">
        <v>2253</v>
      </c>
      <c r="F219" s="5" t="s">
        <v>265</v>
      </c>
      <c r="G219" s="5" t="s">
        <v>345</v>
      </c>
      <c r="H219" s="5" t="n">
        <v>2</v>
      </c>
      <c r="I219" s="5" t="s">
        <v>2229</v>
      </c>
      <c r="J219" s="5" t="s">
        <v>2576</v>
      </c>
      <c r="K219" s="5" t="s">
        <v>2577</v>
      </c>
    </row>
    <row r="220" customFormat="false" ht="15" hidden="false" customHeight="false" outlineLevel="0" collapsed="false">
      <c r="A220" s="5" t="s">
        <v>40</v>
      </c>
      <c r="B220" s="5" t="s">
        <v>372</v>
      </c>
      <c r="C220" s="5" t="s">
        <v>2578</v>
      </c>
      <c r="D220" s="5" t="s">
        <v>2579</v>
      </c>
      <c r="E220" s="5" t="s">
        <v>2253</v>
      </c>
      <c r="F220" s="5" t="s">
        <v>104</v>
      </c>
      <c r="G220" s="5"/>
      <c r="H220" s="5" t="n">
        <v>25</v>
      </c>
      <c r="I220" s="5" t="s">
        <v>1760</v>
      </c>
      <c r="J220" s="5" t="s">
        <v>374</v>
      </c>
      <c r="K220" s="5" t="s">
        <v>375</v>
      </c>
    </row>
    <row r="221" customFormat="false" ht="15" hidden="false" customHeight="false" outlineLevel="0" collapsed="false">
      <c r="A221" s="5" t="s">
        <v>89</v>
      </c>
      <c r="B221" s="5" t="s">
        <v>2580</v>
      </c>
      <c r="C221" s="5" t="s">
        <v>2581</v>
      </c>
      <c r="D221" s="5" t="s">
        <v>2582</v>
      </c>
      <c r="E221" s="5" t="s">
        <v>2253</v>
      </c>
      <c r="F221" s="5" t="s">
        <v>265</v>
      </c>
      <c r="G221" s="5" t="s">
        <v>345</v>
      </c>
      <c r="H221" s="5" t="n">
        <v>2</v>
      </c>
      <c r="I221" s="5" t="s">
        <v>1694</v>
      </c>
      <c r="J221" s="5" t="s">
        <v>2583</v>
      </c>
      <c r="K221" s="5" t="s">
        <v>2584</v>
      </c>
    </row>
    <row r="222" customFormat="false" ht="15" hidden="false" customHeight="false" outlineLevel="0" collapsed="false">
      <c r="A222" s="5" t="s">
        <v>43</v>
      </c>
      <c r="B222" s="5" t="s">
        <v>2585</v>
      </c>
      <c r="C222" s="5" t="s">
        <v>2586</v>
      </c>
      <c r="D222" s="5" t="s">
        <v>2587</v>
      </c>
      <c r="E222" s="5" t="s">
        <v>2253</v>
      </c>
      <c r="F222" s="5" t="s">
        <v>265</v>
      </c>
      <c r="G222" s="5" t="s">
        <v>345</v>
      </c>
      <c r="H222" s="5" t="n">
        <v>4</v>
      </c>
      <c r="I222" s="5" t="s">
        <v>1966</v>
      </c>
      <c r="J222" s="5" t="s">
        <v>2588</v>
      </c>
      <c r="K222" s="5" t="s">
        <v>2589</v>
      </c>
    </row>
    <row r="223" customFormat="false" ht="15" hidden="false" customHeight="false" outlineLevel="0" collapsed="false">
      <c r="A223" s="5" t="s">
        <v>80</v>
      </c>
      <c r="B223" s="5" t="s">
        <v>2590</v>
      </c>
      <c r="C223" s="5" t="s">
        <v>2591</v>
      </c>
      <c r="D223" s="5" t="s">
        <v>2592</v>
      </c>
      <c r="E223" s="5" t="s">
        <v>2253</v>
      </c>
      <c r="F223" s="5" t="s">
        <v>265</v>
      </c>
      <c r="G223" s="5" t="s">
        <v>1259</v>
      </c>
      <c r="H223" s="5" t="n">
        <v>1</v>
      </c>
      <c r="I223" s="5" t="s">
        <v>2292</v>
      </c>
      <c r="J223" s="5" t="s">
        <v>2593</v>
      </c>
      <c r="K223" s="5" t="s">
        <v>2594</v>
      </c>
    </row>
    <row r="224" customFormat="false" ht="15" hidden="false" customHeight="false" outlineLevel="0" collapsed="false">
      <c r="A224" s="5" t="s">
        <v>72</v>
      </c>
      <c r="B224" s="5" t="s">
        <v>2595</v>
      </c>
      <c r="C224" s="5" t="s">
        <v>2596</v>
      </c>
      <c r="D224" s="5" t="s">
        <v>2597</v>
      </c>
      <c r="E224" s="5" t="s">
        <v>2253</v>
      </c>
      <c r="F224" s="5" t="s">
        <v>265</v>
      </c>
      <c r="G224" s="5" t="s">
        <v>345</v>
      </c>
      <c r="H224" s="5" t="n">
        <v>100</v>
      </c>
      <c r="I224" s="5" t="s">
        <v>1647</v>
      </c>
      <c r="J224" s="5" t="s">
        <v>2598</v>
      </c>
      <c r="K224" s="5" t="s">
        <v>2599</v>
      </c>
    </row>
    <row r="225" customFormat="false" ht="15" hidden="false" customHeight="false" outlineLevel="0" collapsed="false">
      <c r="A225" s="5" t="s">
        <v>69</v>
      </c>
      <c r="B225" s="5" t="s">
        <v>1028</v>
      </c>
      <c r="C225" s="5" t="s">
        <v>2600</v>
      </c>
      <c r="D225" s="5" t="s">
        <v>2601</v>
      </c>
      <c r="E225" s="5" t="s">
        <v>2253</v>
      </c>
      <c r="F225" s="5" t="s">
        <v>265</v>
      </c>
      <c r="G225" s="5" t="s">
        <v>345</v>
      </c>
      <c r="H225" s="5" t="n">
        <v>2</v>
      </c>
      <c r="I225" s="5" t="s">
        <v>1656</v>
      </c>
      <c r="J225" s="5" t="s">
        <v>1029</v>
      </c>
      <c r="K225" s="5" t="s">
        <v>1030</v>
      </c>
    </row>
    <row r="226" customFormat="false" ht="15" hidden="false" customHeight="false" outlineLevel="0" collapsed="false">
      <c r="A226" s="5" t="s">
        <v>89</v>
      </c>
      <c r="B226" s="5" t="s">
        <v>2602</v>
      </c>
      <c r="C226" s="5" t="s">
        <v>2603</v>
      </c>
      <c r="D226" s="5" t="s">
        <v>2604</v>
      </c>
      <c r="E226" s="5" t="s">
        <v>2253</v>
      </c>
      <c r="F226" s="5" t="s">
        <v>265</v>
      </c>
      <c r="G226" s="5" t="s">
        <v>345</v>
      </c>
      <c r="H226" s="5" t="n">
        <v>5</v>
      </c>
      <c r="I226" s="5" t="s">
        <v>1694</v>
      </c>
      <c r="J226" s="5" t="s">
        <v>2605</v>
      </c>
      <c r="K226" s="5" t="s">
        <v>2606</v>
      </c>
    </row>
    <row r="227" customFormat="false" ht="15" hidden="false" customHeight="false" outlineLevel="0" collapsed="false">
      <c r="A227" s="5" t="s">
        <v>46</v>
      </c>
      <c r="B227" s="5" t="s">
        <v>2607</v>
      </c>
      <c r="C227" s="5" t="s">
        <v>2608</v>
      </c>
      <c r="D227" s="5" t="s">
        <v>2609</v>
      </c>
      <c r="E227" s="5" t="s">
        <v>2253</v>
      </c>
      <c r="F227" s="5" t="s">
        <v>265</v>
      </c>
      <c r="G227" s="5" t="s">
        <v>345</v>
      </c>
      <c r="H227" s="5" t="n">
        <v>1</v>
      </c>
      <c r="I227" s="5" t="s">
        <v>1709</v>
      </c>
      <c r="J227" s="5" t="s">
        <v>2610</v>
      </c>
      <c r="K227" s="5" t="s">
        <v>2611</v>
      </c>
    </row>
    <row r="228" customFormat="false" ht="15" hidden="false" customHeight="false" outlineLevel="0" collapsed="false">
      <c r="A228" s="5" t="s">
        <v>86</v>
      </c>
      <c r="B228" s="5" t="s">
        <v>2612</v>
      </c>
      <c r="C228" s="5" t="s">
        <v>2613</v>
      </c>
      <c r="D228" s="5" t="s">
        <v>2614</v>
      </c>
      <c r="E228" s="5" t="s">
        <v>2253</v>
      </c>
      <c r="F228" s="5" t="s">
        <v>104</v>
      </c>
      <c r="G228" s="5" t="s">
        <v>2615</v>
      </c>
      <c r="H228" s="5" t="n">
        <v>2</v>
      </c>
      <c r="I228" s="5" t="s">
        <v>2248</v>
      </c>
      <c r="J228" s="5" t="s">
        <v>2616</v>
      </c>
      <c r="K228" s="5" t="s">
        <v>2617</v>
      </c>
    </row>
    <row r="229" customFormat="false" ht="15" hidden="false" customHeight="false" outlineLevel="0" collapsed="false">
      <c r="A229" s="5" t="s">
        <v>47</v>
      </c>
      <c r="B229" s="5" t="s">
        <v>2618</v>
      </c>
      <c r="C229" s="5" t="s">
        <v>2619</v>
      </c>
      <c r="D229" s="5" t="s">
        <v>2620</v>
      </c>
      <c r="E229" s="5" t="s">
        <v>2253</v>
      </c>
      <c r="F229" s="5" t="s">
        <v>265</v>
      </c>
      <c r="G229" s="5" t="s">
        <v>345</v>
      </c>
      <c r="H229" s="5" t="n">
        <v>5</v>
      </c>
      <c r="I229" s="5" t="s">
        <v>1670</v>
      </c>
      <c r="J229" s="5" t="s">
        <v>2621</v>
      </c>
      <c r="K229" s="5" t="s">
        <v>2622</v>
      </c>
    </row>
    <row r="230" customFormat="false" ht="15" hidden="false" customHeight="false" outlineLevel="0" collapsed="false">
      <c r="A230" s="5" t="s">
        <v>51</v>
      </c>
      <c r="B230" s="5" t="s">
        <v>2623</v>
      </c>
      <c r="C230" s="5" t="s">
        <v>2624</v>
      </c>
      <c r="D230" s="5" t="s">
        <v>2625</v>
      </c>
      <c r="E230" s="5" t="s">
        <v>2253</v>
      </c>
      <c r="F230" s="5" t="s">
        <v>104</v>
      </c>
      <c r="G230" s="5"/>
      <c r="H230" s="5" t="n">
        <v>11</v>
      </c>
      <c r="I230" s="5" t="s">
        <v>1709</v>
      </c>
      <c r="J230" s="5" t="s">
        <v>2626</v>
      </c>
      <c r="K230" s="5" t="s">
        <v>2627</v>
      </c>
    </row>
    <row r="231" customFormat="false" ht="15" hidden="false" customHeight="false" outlineLevel="0" collapsed="false">
      <c r="A231" s="5" t="s">
        <v>51</v>
      </c>
      <c r="B231" s="5" t="s">
        <v>2628</v>
      </c>
      <c r="C231" s="5" t="s">
        <v>2629</v>
      </c>
      <c r="D231" s="5" t="s">
        <v>2630</v>
      </c>
      <c r="E231" s="5" t="s">
        <v>2253</v>
      </c>
      <c r="F231" s="5" t="s">
        <v>265</v>
      </c>
      <c r="G231" s="5" t="s">
        <v>345</v>
      </c>
      <c r="H231" s="5" t="n">
        <v>2</v>
      </c>
      <c r="I231" s="5" t="s">
        <v>1966</v>
      </c>
      <c r="J231" s="5" t="s">
        <v>2631</v>
      </c>
      <c r="K231" s="5" t="s">
        <v>2632</v>
      </c>
    </row>
    <row r="232" customFormat="false" ht="15" hidden="false" customHeight="false" outlineLevel="0" collapsed="false">
      <c r="A232" s="5" t="s">
        <v>46</v>
      </c>
      <c r="B232" s="5" t="s">
        <v>534</v>
      </c>
      <c r="C232" s="5" t="s">
        <v>2633</v>
      </c>
      <c r="D232" s="5" t="s">
        <v>2634</v>
      </c>
      <c r="E232" s="5" t="s">
        <v>2253</v>
      </c>
      <c r="F232" s="5" t="s">
        <v>265</v>
      </c>
      <c r="G232" s="5" t="s">
        <v>345</v>
      </c>
      <c r="H232" s="5" t="n">
        <v>3</v>
      </c>
      <c r="I232" s="5" t="s">
        <v>1694</v>
      </c>
      <c r="J232" s="5" t="s">
        <v>535</v>
      </c>
      <c r="K232" s="5" t="s">
        <v>536</v>
      </c>
    </row>
    <row r="233" customFormat="false" ht="15" hidden="false" customHeight="false" outlineLevel="0" collapsed="false">
      <c r="A233" s="5" t="s">
        <v>63</v>
      </c>
      <c r="B233" s="5" t="s">
        <v>2635</v>
      </c>
      <c r="C233" s="5" t="s">
        <v>2636</v>
      </c>
      <c r="D233" s="5" t="s">
        <v>2637</v>
      </c>
      <c r="E233" s="5" t="s">
        <v>2253</v>
      </c>
      <c r="F233" s="5" t="s">
        <v>265</v>
      </c>
      <c r="G233" s="5" t="s">
        <v>345</v>
      </c>
      <c r="H233" s="5" t="n">
        <v>2</v>
      </c>
      <c r="I233" s="5" t="s">
        <v>1656</v>
      </c>
      <c r="J233" s="5" t="s">
        <v>2638</v>
      </c>
      <c r="K233" s="5" t="s">
        <v>2639</v>
      </c>
    </row>
    <row r="234" customFormat="false" ht="15" hidden="false" customHeight="false" outlineLevel="0" collapsed="false">
      <c r="A234" s="5" t="s">
        <v>83</v>
      </c>
      <c r="B234" s="5" t="s">
        <v>2640</v>
      </c>
      <c r="C234" s="5" t="s">
        <v>2641</v>
      </c>
      <c r="D234" s="5" t="s">
        <v>2642</v>
      </c>
      <c r="E234" s="5" t="s">
        <v>2253</v>
      </c>
      <c r="F234" s="5" t="s">
        <v>265</v>
      </c>
      <c r="G234" s="5" t="s">
        <v>584</v>
      </c>
      <c r="H234" s="5" t="n">
        <v>2</v>
      </c>
      <c r="I234" s="5" t="s">
        <v>1647</v>
      </c>
      <c r="J234" s="5" t="s">
        <v>2643</v>
      </c>
      <c r="K234" s="5" t="s">
        <v>2644</v>
      </c>
    </row>
    <row r="235" customFormat="false" ht="15" hidden="false" customHeight="false" outlineLevel="0" collapsed="false">
      <c r="A235" s="5" t="s">
        <v>43</v>
      </c>
      <c r="B235" s="5" t="s">
        <v>2645</v>
      </c>
      <c r="C235" s="5" t="s">
        <v>2646</v>
      </c>
      <c r="D235" s="5" t="s">
        <v>2647</v>
      </c>
      <c r="E235" s="5" t="s">
        <v>2253</v>
      </c>
      <c r="F235" s="5" t="s">
        <v>265</v>
      </c>
      <c r="G235" s="5" t="s">
        <v>345</v>
      </c>
      <c r="H235" s="5" t="n">
        <v>10</v>
      </c>
      <c r="I235" s="5" t="s">
        <v>1709</v>
      </c>
      <c r="J235" s="5" t="s">
        <v>2648</v>
      </c>
      <c r="K235" s="5" t="s">
        <v>2649</v>
      </c>
    </row>
    <row r="236" customFormat="false" ht="15" hidden="false" customHeight="false" outlineLevel="0" collapsed="false">
      <c r="A236" s="5" t="s">
        <v>54</v>
      </c>
      <c r="B236" s="5" t="s">
        <v>2650</v>
      </c>
      <c r="C236" s="5" t="s">
        <v>2651</v>
      </c>
      <c r="D236" s="5" t="s">
        <v>2652</v>
      </c>
      <c r="E236" s="5" t="s">
        <v>2253</v>
      </c>
      <c r="F236" s="5" t="s">
        <v>265</v>
      </c>
      <c r="G236" s="5" t="s">
        <v>436</v>
      </c>
      <c r="H236" s="5" t="n">
        <v>2</v>
      </c>
      <c r="I236" s="5" t="s">
        <v>1800</v>
      </c>
      <c r="J236" s="5" t="s">
        <v>2653</v>
      </c>
      <c r="K236" s="5" t="s">
        <v>2654</v>
      </c>
    </row>
    <row r="237" customFormat="false" ht="15" hidden="false" customHeight="false" outlineLevel="0" collapsed="false">
      <c r="A237" s="5" t="s">
        <v>40</v>
      </c>
      <c r="B237" s="5" t="s">
        <v>381</v>
      </c>
      <c r="C237" s="5" t="s">
        <v>2655</v>
      </c>
      <c r="D237" s="5" t="s">
        <v>2656</v>
      </c>
      <c r="E237" s="5" t="s">
        <v>2253</v>
      </c>
      <c r="F237" s="5" t="s">
        <v>265</v>
      </c>
      <c r="G237" s="5" t="s">
        <v>382</v>
      </c>
      <c r="H237" s="5" t="n">
        <v>3</v>
      </c>
      <c r="I237" s="5" t="s">
        <v>1760</v>
      </c>
      <c r="J237" s="5" t="s">
        <v>383</v>
      </c>
      <c r="K237" s="5" t="s">
        <v>384</v>
      </c>
    </row>
    <row r="238" customFormat="false" ht="15" hidden="false" customHeight="false" outlineLevel="0" collapsed="false">
      <c r="A238" s="5" t="s">
        <v>66</v>
      </c>
      <c r="B238" s="5" t="s">
        <v>2657</v>
      </c>
      <c r="C238" s="5" t="s">
        <v>2658</v>
      </c>
      <c r="D238" s="5" t="s">
        <v>2659</v>
      </c>
      <c r="E238" s="5" t="s">
        <v>2253</v>
      </c>
      <c r="F238" s="5" t="s">
        <v>265</v>
      </c>
      <c r="G238" s="5" t="s">
        <v>345</v>
      </c>
      <c r="H238" s="5" t="n">
        <v>3</v>
      </c>
      <c r="I238" s="5" t="s">
        <v>1911</v>
      </c>
      <c r="J238" s="5" t="s">
        <v>2660</v>
      </c>
      <c r="K238" s="5" t="s">
        <v>2661</v>
      </c>
    </row>
    <row r="239" customFormat="false" ht="15" hidden="false" customHeight="false" outlineLevel="0" collapsed="false">
      <c r="A239" s="5" t="s">
        <v>69</v>
      </c>
      <c r="B239" s="5" t="s">
        <v>2662</v>
      </c>
      <c r="C239" s="5" t="s">
        <v>2663</v>
      </c>
      <c r="D239" s="5" t="s">
        <v>2664</v>
      </c>
      <c r="E239" s="5" t="s">
        <v>2253</v>
      </c>
      <c r="F239" s="5" t="s">
        <v>265</v>
      </c>
      <c r="G239" s="5" t="s">
        <v>345</v>
      </c>
      <c r="H239" s="5" t="n">
        <v>2</v>
      </c>
      <c r="I239" s="5" t="s">
        <v>1709</v>
      </c>
      <c r="J239" s="5" t="s">
        <v>2665</v>
      </c>
      <c r="K239" s="5" t="s">
        <v>2666</v>
      </c>
    </row>
    <row r="240" customFormat="false" ht="15" hidden="false" customHeight="false" outlineLevel="0" collapsed="false">
      <c r="A240" s="5" t="s">
        <v>72</v>
      </c>
      <c r="B240" s="5" t="s">
        <v>2667</v>
      </c>
      <c r="C240" s="5" t="s">
        <v>2668</v>
      </c>
      <c r="D240" s="5" t="s">
        <v>2669</v>
      </c>
      <c r="E240" s="5" t="s">
        <v>2253</v>
      </c>
      <c r="F240" s="5" t="s">
        <v>265</v>
      </c>
      <c r="G240" s="5" t="s">
        <v>345</v>
      </c>
      <c r="H240" s="5" t="n">
        <v>12</v>
      </c>
      <c r="I240" s="5" t="s">
        <v>1656</v>
      </c>
      <c r="J240" s="5" t="s">
        <v>2670</v>
      </c>
      <c r="K240" s="5" t="s">
        <v>2671</v>
      </c>
    </row>
    <row r="241" customFormat="false" ht="15" hidden="false" customHeight="false" outlineLevel="0" collapsed="false">
      <c r="A241" s="5" t="s">
        <v>47</v>
      </c>
      <c r="B241" s="5" t="s">
        <v>2672</v>
      </c>
      <c r="C241" s="5" t="s">
        <v>2673</v>
      </c>
      <c r="D241" s="5" t="s">
        <v>2674</v>
      </c>
      <c r="E241" s="5" t="s">
        <v>2253</v>
      </c>
      <c r="F241" s="5" t="s">
        <v>104</v>
      </c>
      <c r="G241" s="5"/>
      <c r="H241" s="5" t="n">
        <v>3</v>
      </c>
      <c r="I241" s="5" t="s">
        <v>1898</v>
      </c>
      <c r="J241" s="5" t="s">
        <v>2675</v>
      </c>
      <c r="K241" s="5" t="s">
        <v>2676</v>
      </c>
    </row>
    <row r="242" customFormat="false" ht="15" hidden="false" customHeight="false" outlineLevel="0" collapsed="false">
      <c r="A242" s="5" t="s">
        <v>92</v>
      </c>
      <c r="B242" s="5" t="s">
        <v>2677</v>
      </c>
      <c r="C242" s="5" t="s">
        <v>2678</v>
      </c>
      <c r="D242" s="5" t="s">
        <v>2679</v>
      </c>
      <c r="E242" s="5" t="s">
        <v>2253</v>
      </c>
      <c r="F242" s="5" t="s">
        <v>265</v>
      </c>
      <c r="G242" s="5" t="s">
        <v>436</v>
      </c>
      <c r="H242" s="5" t="n">
        <v>3</v>
      </c>
      <c r="I242" s="5" t="s">
        <v>1656</v>
      </c>
      <c r="J242" s="5" t="s">
        <v>2680</v>
      </c>
      <c r="K242" s="5" t="s">
        <v>2681</v>
      </c>
    </row>
    <row r="243" customFormat="false" ht="15" hidden="false" customHeight="false" outlineLevel="0" collapsed="false">
      <c r="A243" s="5" t="s">
        <v>101</v>
      </c>
      <c r="B243" s="5" t="s">
        <v>2682</v>
      </c>
      <c r="C243" s="5" t="s">
        <v>2683</v>
      </c>
      <c r="D243" s="5" t="s">
        <v>2684</v>
      </c>
      <c r="E243" s="5" t="s">
        <v>2253</v>
      </c>
      <c r="F243" s="5" t="s">
        <v>265</v>
      </c>
      <c r="G243" s="5" t="s">
        <v>345</v>
      </c>
      <c r="H243" s="5" t="n">
        <v>2</v>
      </c>
      <c r="I243" s="5" t="s">
        <v>1664</v>
      </c>
      <c r="J243" s="5" t="s">
        <v>2685</v>
      </c>
      <c r="K243" s="5" t="s">
        <v>2686</v>
      </c>
    </row>
    <row r="244" customFormat="false" ht="15" hidden="false" customHeight="false" outlineLevel="0" collapsed="false">
      <c r="A244" s="5" t="s">
        <v>63</v>
      </c>
      <c r="B244" s="5" t="s">
        <v>2687</v>
      </c>
      <c r="C244" s="5" t="s">
        <v>2688</v>
      </c>
      <c r="D244" s="5" t="s">
        <v>2689</v>
      </c>
      <c r="E244" s="5" t="s">
        <v>2253</v>
      </c>
      <c r="F244" s="5" t="s">
        <v>265</v>
      </c>
      <c r="G244" s="5" t="s">
        <v>345</v>
      </c>
      <c r="H244" s="5" t="n">
        <v>2</v>
      </c>
      <c r="I244" s="5" t="s">
        <v>1656</v>
      </c>
      <c r="J244" s="5" t="s">
        <v>2690</v>
      </c>
      <c r="K244" s="5" t="s">
        <v>2691</v>
      </c>
    </row>
    <row r="245" customFormat="false" ht="15" hidden="false" customHeight="false" outlineLevel="0" collapsed="false">
      <c r="A245" s="5" t="s">
        <v>46</v>
      </c>
      <c r="B245" s="5" t="s">
        <v>2692</v>
      </c>
      <c r="C245" s="5" t="s">
        <v>2693</v>
      </c>
      <c r="D245" s="5" t="s">
        <v>2694</v>
      </c>
      <c r="E245" s="5" t="s">
        <v>2253</v>
      </c>
      <c r="F245" s="5" t="s">
        <v>265</v>
      </c>
      <c r="G245" s="5" t="s">
        <v>436</v>
      </c>
      <c r="H245" s="5" t="n">
        <v>5</v>
      </c>
      <c r="I245" s="5" t="s">
        <v>2537</v>
      </c>
      <c r="J245" s="5" t="s">
        <v>2695</v>
      </c>
      <c r="K245" s="5" t="s">
        <v>2696</v>
      </c>
    </row>
    <row r="246" customFormat="false" ht="15" hidden="false" customHeight="false" outlineLevel="0" collapsed="false">
      <c r="A246" s="5" t="s">
        <v>69</v>
      </c>
      <c r="B246" s="5" t="s">
        <v>2697</v>
      </c>
      <c r="C246" s="5" t="s">
        <v>2698</v>
      </c>
      <c r="D246" s="5" t="s">
        <v>2699</v>
      </c>
      <c r="E246" s="5" t="s">
        <v>2253</v>
      </c>
      <c r="F246" s="5" t="s">
        <v>265</v>
      </c>
      <c r="G246" s="5" t="s">
        <v>345</v>
      </c>
      <c r="H246" s="5" t="n">
        <v>2</v>
      </c>
      <c r="I246" s="5" t="s">
        <v>1709</v>
      </c>
      <c r="J246" s="5" t="s">
        <v>2700</v>
      </c>
      <c r="K246" s="5" t="s">
        <v>2701</v>
      </c>
    </row>
    <row r="247" customFormat="false" ht="15" hidden="false" customHeight="false" outlineLevel="0" collapsed="false">
      <c r="A247" s="5" t="s">
        <v>54</v>
      </c>
      <c r="B247" s="5" t="s">
        <v>2702</v>
      </c>
      <c r="C247" s="5" t="s">
        <v>2703</v>
      </c>
      <c r="D247" s="5" t="s">
        <v>2704</v>
      </c>
      <c r="E247" s="5" t="s">
        <v>2253</v>
      </c>
      <c r="F247" s="5" t="s">
        <v>104</v>
      </c>
      <c r="G247" s="5" t="s">
        <v>445</v>
      </c>
      <c r="H247" s="5" t="n">
        <v>3</v>
      </c>
      <c r="I247" s="5" t="s">
        <v>1800</v>
      </c>
      <c r="J247" s="5" t="s">
        <v>2705</v>
      </c>
      <c r="K247" s="5" t="s">
        <v>2706</v>
      </c>
    </row>
    <row r="248" customFormat="false" ht="15" hidden="false" customHeight="false" outlineLevel="0" collapsed="false">
      <c r="A248" s="5" t="s">
        <v>83</v>
      </c>
      <c r="B248" s="5" t="s">
        <v>1279</v>
      </c>
      <c r="C248" s="5" t="s">
        <v>2707</v>
      </c>
      <c r="D248" s="5" t="s">
        <v>2708</v>
      </c>
      <c r="E248" s="5" t="s">
        <v>2253</v>
      </c>
      <c r="F248" s="5" t="s">
        <v>104</v>
      </c>
      <c r="G248" s="5" t="s">
        <v>445</v>
      </c>
      <c r="H248" s="5" t="n">
        <v>3</v>
      </c>
      <c r="I248" s="5" t="s">
        <v>2709</v>
      </c>
      <c r="J248" s="5" t="s">
        <v>1280</v>
      </c>
      <c r="K248" s="5" t="s">
        <v>1281</v>
      </c>
    </row>
    <row r="249" customFormat="false" ht="15" hidden="false" customHeight="false" outlineLevel="0" collapsed="false">
      <c r="A249" s="5" t="s">
        <v>95</v>
      </c>
      <c r="B249" s="5" t="s">
        <v>2710</v>
      </c>
      <c r="C249" s="5" t="s">
        <v>2711</v>
      </c>
      <c r="D249" s="5" t="s">
        <v>2712</v>
      </c>
      <c r="E249" s="5" t="s">
        <v>2253</v>
      </c>
      <c r="F249" s="5" t="s">
        <v>104</v>
      </c>
      <c r="G249" s="5" t="s">
        <v>735</v>
      </c>
      <c r="H249" s="5" t="n">
        <v>2</v>
      </c>
      <c r="I249" s="5" t="s">
        <v>2208</v>
      </c>
      <c r="J249" s="5" t="s">
        <v>2713</v>
      </c>
      <c r="K249" s="5" t="s">
        <v>2714</v>
      </c>
    </row>
    <row r="250" customFormat="false" ht="15" hidden="false" customHeight="false" outlineLevel="0" collapsed="false">
      <c r="A250" s="5" t="s">
        <v>47</v>
      </c>
      <c r="B250" s="5" t="s">
        <v>2715</v>
      </c>
      <c r="C250" s="5" t="s">
        <v>2716</v>
      </c>
      <c r="D250" s="5" t="s">
        <v>2717</v>
      </c>
      <c r="E250" s="5" t="s">
        <v>2253</v>
      </c>
      <c r="F250" s="5" t="s">
        <v>265</v>
      </c>
      <c r="G250" s="5" t="s">
        <v>345</v>
      </c>
      <c r="H250" s="5" t="n">
        <v>2</v>
      </c>
      <c r="I250" s="5" t="s">
        <v>1971</v>
      </c>
      <c r="J250" s="5" t="s">
        <v>2718</v>
      </c>
      <c r="K250" s="5" t="s">
        <v>2719</v>
      </c>
    </row>
    <row r="251" customFormat="false" ht="15" hidden="false" customHeight="false" outlineLevel="0" collapsed="false">
      <c r="A251" s="5" t="s">
        <v>66</v>
      </c>
      <c r="B251" s="5" t="s">
        <v>2720</v>
      </c>
      <c r="C251" s="5" t="s">
        <v>2721</v>
      </c>
      <c r="D251" s="5" t="s">
        <v>2722</v>
      </c>
      <c r="E251" s="5" t="s">
        <v>2253</v>
      </c>
      <c r="F251" s="5" t="s">
        <v>265</v>
      </c>
      <c r="G251" s="5" t="s">
        <v>345</v>
      </c>
      <c r="H251" s="5" t="n">
        <v>6</v>
      </c>
      <c r="I251" s="5" t="s">
        <v>1656</v>
      </c>
      <c r="J251" s="5" t="s">
        <v>2723</v>
      </c>
      <c r="K251" s="5" t="s">
        <v>2724</v>
      </c>
    </row>
    <row r="252" customFormat="false" ht="15" hidden="false" customHeight="false" outlineLevel="0" collapsed="false">
      <c r="A252" s="5" t="s">
        <v>40</v>
      </c>
      <c r="B252" s="5" t="s">
        <v>2725</v>
      </c>
      <c r="C252" s="5" t="s">
        <v>2726</v>
      </c>
      <c r="D252" s="5" t="s">
        <v>2727</v>
      </c>
      <c r="E252" s="5" t="s">
        <v>2253</v>
      </c>
      <c r="F252" s="5" t="s">
        <v>104</v>
      </c>
      <c r="G252" s="5" t="s">
        <v>351</v>
      </c>
      <c r="H252" s="5" t="n">
        <v>10</v>
      </c>
      <c r="I252" s="5" t="s">
        <v>1760</v>
      </c>
      <c r="J252" s="5" t="s">
        <v>2728</v>
      </c>
      <c r="K252" s="5" t="s">
        <v>2729</v>
      </c>
    </row>
    <row r="253" customFormat="false" ht="15" hidden="false" customHeight="false" outlineLevel="0" collapsed="false">
      <c r="A253" s="5" t="s">
        <v>46</v>
      </c>
      <c r="B253" s="5" t="s">
        <v>2730</v>
      </c>
      <c r="C253" s="5" t="s">
        <v>2731</v>
      </c>
      <c r="D253" s="5" t="s">
        <v>2732</v>
      </c>
      <c r="E253" s="5" t="s">
        <v>2253</v>
      </c>
      <c r="F253" s="5" t="s">
        <v>265</v>
      </c>
      <c r="G253" s="5" t="s">
        <v>436</v>
      </c>
      <c r="H253" s="5" t="n">
        <v>6</v>
      </c>
      <c r="I253" s="5" t="s">
        <v>1709</v>
      </c>
      <c r="J253" s="5" t="s">
        <v>2733</v>
      </c>
      <c r="K253" s="5" t="s">
        <v>2734</v>
      </c>
    </row>
    <row r="254" customFormat="false" ht="15" hidden="false" customHeight="false" outlineLevel="0" collapsed="false">
      <c r="A254" s="5" t="s">
        <v>75</v>
      </c>
      <c r="B254" s="5" t="s">
        <v>2735</v>
      </c>
      <c r="C254" s="5" t="s">
        <v>2736</v>
      </c>
      <c r="D254" s="5" t="s">
        <v>2737</v>
      </c>
      <c r="E254" s="5" t="s">
        <v>2253</v>
      </c>
      <c r="F254" s="5" t="s">
        <v>104</v>
      </c>
      <c r="G254" s="5" t="s">
        <v>2738</v>
      </c>
      <c r="H254" s="5" t="n">
        <v>15</v>
      </c>
      <c r="I254" s="5" t="s">
        <v>2292</v>
      </c>
      <c r="J254" s="5" t="s">
        <v>2739</v>
      </c>
      <c r="K254" s="5" t="s">
        <v>2740</v>
      </c>
    </row>
    <row r="255" customFormat="false" ht="15" hidden="false" customHeight="false" outlineLevel="0" collapsed="false">
      <c r="A255" s="5" t="s">
        <v>54</v>
      </c>
      <c r="B255" s="5" t="s">
        <v>2741</v>
      </c>
      <c r="C255" s="5" t="s">
        <v>2742</v>
      </c>
      <c r="D255" s="5" t="s">
        <v>2743</v>
      </c>
      <c r="E255" s="5" t="s">
        <v>2253</v>
      </c>
      <c r="F255" s="5" t="s">
        <v>265</v>
      </c>
      <c r="G255" s="5" t="s">
        <v>436</v>
      </c>
      <c r="H255" s="5" t="n">
        <v>2</v>
      </c>
      <c r="I255" s="5" t="s">
        <v>1882</v>
      </c>
      <c r="J255" s="5" t="s">
        <v>2744</v>
      </c>
      <c r="K255" s="5" t="s">
        <v>2745</v>
      </c>
    </row>
    <row r="256" customFormat="false" ht="15" hidden="false" customHeight="false" outlineLevel="0" collapsed="false">
      <c r="A256" s="5" t="s">
        <v>80</v>
      </c>
      <c r="B256" s="5" t="s">
        <v>2746</v>
      </c>
      <c r="C256" s="5" t="s">
        <v>2747</v>
      </c>
      <c r="D256" s="5" t="s">
        <v>2748</v>
      </c>
      <c r="E256" s="5" t="s">
        <v>2253</v>
      </c>
      <c r="F256" s="5" t="s">
        <v>104</v>
      </c>
      <c r="G256" s="5"/>
      <c r="H256" s="5" t="n">
        <v>2</v>
      </c>
      <c r="I256" s="5" t="s">
        <v>2749</v>
      </c>
      <c r="J256" s="5" t="s">
        <v>2750</v>
      </c>
      <c r="K256" s="5" t="s">
        <v>2751</v>
      </c>
    </row>
    <row r="257" customFormat="false" ht="15" hidden="false" customHeight="false" outlineLevel="0" collapsed="false">
      <c r="A257" s="5" t="s">
        <v>80</v>
      </c>
      <c r="B257" s="5" t="s">
        <v>2752</v>
      </c>
      <c r="C257" s="5" t="s">
        <v>2753</v>
      </c>
      <c r="D257" s="5" t="s">
        <v>2754</v>
      </c>
      <c r="E257" s="5" t="s">
        <v>2253</v>
      </c>
      <c r="F257" s="5" t="s">
        <v>265</v>
      </c>
      <c r="G257" s="5" t="s">
        <v>345</v>
      </c>
      <c r="H257" s="5" t="n">
        <v>2</v>
      </c>
      <c r="I257" s="5" t="s">
        <v>1647</v>
      </c>
      <c r="J257" s="5" t="s">
        <v>2755</v>
      </c>
      <c r="K257" s="5" t="s">
        <v>2756</v>
      </c>
    </row>
    <row r="258" customFormat="false" ht="15" hidden="false" customHeight="false" outlineLevel="0" collapsed="false">
      <c r="A258" s="5" t="s">
        <v>47</v>
      </c>
      <c r="B258" s="5" t="s">
        <v>2757</v>
      </c>
      <c r="C258" s="5" t="s">
        <v>2758</v>
      </c>
      <c r="D258" s="5" t="s">
        <v>2759</v>
      </c>
      <c r="E258" s="5" t="s">
        <v>2253</v>
      </c>
      <c r="F258" s="5" t="s">
        <v>265</v>
      </c>
      <c r="G258" s="5" t="s">
        <v>345</v>
      </c>
      <c r="H258" s="5" t="n">
        <v>3</v>
      </c>
      <c r="I258" s="5" t="s">
        <v>1670</v>
      </c>
      <c r="J258" s="5" t="s">
        <v>2760</v>
      </c>
      <c r="K258" s="5" t="s">
        <v>2761</v>
      </c>
    </row>
    <row r="259" customFormat="false" ht="15" hidden="false" customHeight="false" outlineLevel="0" collapsed="false">
      <c r="A259" s="5" t="s">
        <v>69</v>
      </c>
      <c r="B259" s="5" t="s">
        <v>2762</v>
      </c>
      <c r="C259" s="5" t="s">
        <v>2763</v>
      </c>
      <c r="D259" s="5" t="s">
        <v>2764</v>
      </c>
      <c r="E259" s="5" t="s">
        <v>2253</v>
      </c>
      <c r="F259" s="5" t="s">
        <v>104</v>
      </c>
      <c r="G259" s="5" t="s">
        <v>1202</v>
      </c>
      <c r="H259" s="5"/>
      <c r="I259" s="5" t="s">
        <v>1709</v>
      </c>
      <c r="J259" s="5" t="s">
        <v>2765</v>
      </c>
      <c r="K259" s="5" t="s">
        <v>2766</v>
      </c>
    </row>
    <row r="260" customFormat="false" ht="15" hidden="false" customHeight="false" outlineLevel="0" collapsed="false">
      <c r="A260" s="5" t="s">
        <v>80</v>
      </c>
      <c r="B260" s="5" t="s">
        <v>2767</v>
      </c>
      <c r="C260" s="5" t="s">
        <v>2768</v>
      </c>
      <c r="D260" s="5" t="s">
        <v>2769</v>
      </c>
      <c r="E260" s="5" t="s">
        <v>2253</v>
      </c>
      <c r="F260" s="5" t="s">
        <v>265</v>
      </c>
      <c r="G260" s="5" t="s">
        <v>345</v>
      </c>
      <c r="H260" s="5" t="n">
        <v>5</v>
      </c>
      <c r="I260" s="5" t="s">
        <v>2292</v>
      </c>
      <c r="J260" s="5" t="s">
        <v>2770</v>
      </c>
      <c r="K260" s="5" t="s">
        <v>2771</v>
      </c>
    </row>
    <row r="261" customFormat="false" ht="15" hidden="false" customHeight="false" outlineLevel="0" collapsed="false">
      <c r="A261" s="5" t="s">
        <v>92</v>
      </c>
      <c r="B261" s="5" t="s">
        <v>2772</v>
      </c>
      <c r="C261" s="5" t="s">
        <v>2773</v>
      </c>
      <c r="D261" s="5" t="s">
        <v>2774</v>
      </c>
      <c r="E261" s="5" t="s">
        <v>2253</v>
      </c>
      <c r="F261" s="5" t="s">
        <v>265</v>
      </c>
      <c r="G261" s="5" t="s">
        <v>345</v>
      </c>
      <c r="H261" s="5" t="n">
        <v>8</v>
      </c>
      <c r="I261" s="5" t="s">
        <v>1811</v>
      </c>
      <c r="J261" s="5" t="s">
        <v>2775</v>
      </c>
      <c r="K261" s="5" t="s">
        <v>2776</v>
      </c>
    </row>
    <row r="262" customFormat="false" ht="15" hidden="false" customHeight="false" outlineLevel="0" collapsed="false">
      <c r="A262" s="5" t="s">
        <v>63</v>
      </c>
      <c r="B262" s="5" t="s">
        <v>2777</v>
      </c>
      <c r="C262" s="5" t="s">
        <v>2778</v>
      </c>
      <c r="D262" s="5" t="s">
        <v>2779</v>
      </c>
      <c r="E262" s="5" t="s">
        <v>2253</v>
      </c>
      <c r="F262" s="5" t="s">
        <v>265</v>
      </c>
      <c r="G262" s="5" t="s">
        <v>345</v>
      </c>
      <c r="H262" s="5" t="n">
        <v>2</v>
      </c>
      <c r="I262" s="5" t="s">
        <v>1656</v>
      </c>
      <c r="J262" s="5" t="s">
        <v>2780</v>
      </c>
      <c r="K262" s="5" t="s">
        <v>2781</v>
      </c>
    </row>
    <row r="263" customFormat="false" ht="15" hidden="false" customHeight="false" outlineLevel="0" collapsed="false">
      <c r="A263" s="5" t="s">
        <v>43</v>
      </c>
      <c r="B263" s="5" t="s">
        <v>2782</v>
      </c>
      <c r="C263" s="5" t="s">
        <v>2783</v>
      </c>
      <c r="D263" s="5" t="s">
        <v>2784</v>
      </c>
      <c r="E263" s="5" t="s">
        <v>2253</v>
      </c>
      <c r="F263" s="5" t="s">
        <v>265</v>
      </c>
      <c r="G263" s="5" t="s">
        <v>345</v>
      </c>
      <c r="H263" s="5" t="n">
        <v>3</v>
      </c>
      <c r="I263" s="5" t="s">
        <v>1656</v>
      </c>
      <c r="J263" s="5" t="s">
        <v>2785</v>
      </c>
      <c r="K263" s="5" t="s">
        <v>2786</v>
      </c>
    </row>
    <row r="264" customFormat="false" ht="15" hidden="false" customHeight="false" outlineLevel="0" collapsed="false">
      <c r="A264" s="5" t="s">
        <v>40</v>
      </c>
      <c r="B264" s="5" t="s">
        <v>2787</v>
      </c>
      <c r="C264" s="5" t="s">
        <v>2788</v>
      </c>
      <c r="D264" s="5" t="s">
        <v>2789</v>
      </c>
      <c r="E264" s="5" t="s">
        <v>2253</v>
      </c>
      <c r="F264" s="5" t="s">
        <v>265</v>
      </c>
      <c r="G264" s="5" t="s">
        <v>436</v>
      </c>
      <c r="H264" s="5" t="n">
        <v>1</v>
      </c>
      <c r="I264" s="5" t="s">
        <v>2429</v>
      </c>
      <c r="J264" s="5" t="s">
        <v>2790</v>
      </c>
      <c r="K264" s="5" t="s">
        <v>2791</v>
      </c>
    </row>
    <row r="265" customFormat="false" ht="15" hidden="false" customHeight="false" outlineLevel="0" collapsed="false">
      <c r="A265" s="5" t="s">
        <v>75</v>
      </c>
      <c r="B265" s="5" t="s">
        <v>2792</v>
      </c>
      <c r="C265" s="5" t="s">
        <v>2793</v>
      </c>
      <c r="D265" s="5" t="s">
        <v>2794</v>
      </c>
      <c r="E265" s="5" t="s">
        <v>2253</v>
      </c>
      <c r="F265" s="5" t="s">
        <v>265</v>
      </c>
      <c r="G265" s="5" t="s">
        <v>345</v>
      </c>
      <c r="H265" s="5" t="n">
        <v>5</v>
      </c>
      <c r="I265" s="5" t="s">
        <v>1709</v>
      </c>
      <c r="J265" s="5" t="s">
        <v>2795</v>
      </c>
      <c r="K265" s="5" t="s">
        <v>2796</v>
      </c>
    </row>
    <row r="266" customFormat="false" ht="15" hidden="false" customHeight="false" outlineLevel="0" collapsed="false">
      <c r="A266" s="5" t="s">
        <v>66</v>
      </c>
      <c r="B266" s="5" t="s">
        <v>2797</v>
      </c>
      <c r="C266" s="5" t="s">
        <v>2798</v>
      </c>
      <c r="D266" s="5" t="s">
        <v>2799</v>
      </c>
      <c r="E266" s="5" t="s">
        <v>2253</v>
      </c>
      <c r="F266" s="5" t="s">
        <v>265</v>
      </c>
      <c r="G266" s="5" t="s">
        <v>345</v>
      </c>
      <c r="H266" s="5" t="n">
        <v>8</v>
      </c>
      <c r="I266" s="5" t="s">
        <v>1656</v>
      </c>
      <c r="J266" s="5" t="s">
        <v>2800</v>
      </c>
      <c r="K266" s="5" t="s">
        <v>2801</v>
      </c>
    </row>
    <row r="267" customFormat="false" ht="15" hidden="false" customHeight="false" outlineLevel="0" collapsed="false">
      <c r="A267" s="5" t="s">
        <v>46</v>
      </c>
      <c r="B267" s="5" t="s">
        <v>542</v>
      </c>
      <c r="C267" s="5" t="s">
        <v>2802</v>
      </c>
      <c r="D267" s="5" t="s">
        <v>2803</v>
      </c>
      <c r="E267" s="5" t="s">
        <v>2253</v>
      </c>
      <c r="F267" s="5" t="s">
        <v>265</v>
      </c>
      <c r="G267" s="5" t="s">
        <v>345</v>
      </c>
      <c r="H267" s="5" t="n">
        <v>3</v>
      </c>
      <c r="I267" s="5" t="s">
        <v>1709</v>
      </c>
      <c r="J267" s="5" t="s">
        <v>543</v>
      </c>
      <c r="K267" s="5" t="s">
        <v>544</v>
      </c>
    </row>
    <row r="268" customFormat="false" ht="15" hidden="false" customHeight="false" outlineLevel="0" collapsed="false">
      <c r="A268" s="5" t="s">
        <v>89</v>
      </c>
      <c r="B268" s="5" t="s">
        <v>2804</v>
      </c>
      <c r="C268" s="5" t="s">
        <v>2805</v>
      </c>
      <c r="D268" s="5" t="s">
        <v>2806</v>
      </c>
      <c r="E268" s="5" t="s">
        <v>2253</v>
      </c>
      <c r="F268" s="5" t="s">
        <v>104</v>
      </c>
      <c r="G268" s="5"/>
      <c r="H268" s="5" t="n">
        <v>2</v>
      </c>
      <c r="I268" s="5" t="s">
        <v>1694</v>
      </c>
      <c r="J268" s="5" t="s">
        <v>2807</v>
      </c>
      <c r="K268" s="5" t="s">
        <v>2808</v>
      </c>
    </row>
    <row r="269" customFormat="false" ht="15" hidden="false" customHeight="false" outlineLevel="0" collapsed="false">
      <c r="A269" s="5" t="s">
        <v>40</v>
      </c>
      <c r="B269" s="5" t="s">
        <v>2809</v>
      </c>
      <c r="C269" s="5" t="s">
        <v>2810</v>
      </c>
      <c r="D269" s="5" t="s">
        <v>2811</v>
      </c>
      <c r="E269" s="5" t="s">
        <v>2253</v>
      </c>
      <c r="F269" s="5" t="s">
        <v>265</v>
      </c>
      <c r="G269" s="5" t="s">
        <v>345</v>
      </c>
      <c r="H269" s="5" t="n">
        <v>3</v>
      </c>
      <c r="I269" s="5" t="s">
        <v>1652</v>
      </c>
      <c r="J269" s="5" t="s">
        <v>2812</v>
      </c>
      <c r="K269" s="5" t="s">
        <v>2813</v>
      </c>
    </row>
    <row r="270" customFormat="false" ht="15" hidden="false" customHeight="false" outlineLevel="0" collapsed="false">
      <c r="A270" s="5" t="s">
        <v>66</v>
      </c>
      <c r="B270" s="5" t="s">
        <v>2814</v>
      </c>
      <c r="C270" s="5" t="s">
        <v>2815</v>
      </c>
      <c r="D270" s="5" t="s">
        <v>2816</v>
      </c>
      <c r="E270" s="5" t="s">
        <v>2253</v>
      </c>
      <c r="F270" s="5" t="s">
        <v>265</v>
      </c>
      <c r="G270" s="5" t="s">
        <v>345</v>
      </c>
      <c r="H270" s="5" t="n">
        <v>14</v>
      </c>
      <c r="I270" s="5" t="s">
        <v>1911</v>
      </c>
      <c r="J270" s="5" t="s">
        <v>2817</v>
      </c>
      <c r="K270" s="5" t="s">
        <v>2818</v>
      </c>
    </row>
    <row r="271" customFormat="false" ht="15" hidden="false" customHeight="false" outlineLevel="0" collapsed="false">
      <c r="A271" s="5" t="s">
        <v>47</v>
      </c>
      <c r="B271" s="5" t="s">
        <v>605</v>
      </c>
      <c r="C271" s="5" t="s">
        <v>2819</v>
      </c>
      <c r="D271" s="5" t="s">
        <v>2820</v>
      </c>
      <c r="E271" s="5" t="s">
        <v>2253</v>
      </c>
      <c r="F271" s="5" t="s">
        <v>104</v>
      </c>
      <c r="G271" s="5"/>
      <c r="H271" s="5" t="n">
        <v>5</v>
      </c>
      <c r="I271" s="5" t="s">
        <v>1898</v>
      </c>
      <c r="J271" s="5" t="s">
        <v>606</v>
      </c>
      <c r="K271" s="5" t="s">
        <v>607</v>
      </c>
    </row>
    <row r="272" customFormat="false" ht="15" hidden="false" customHeight="false" outlineLevel="0" collapsed="false">
      <c r="A272" s="5" t="s">
        <v>95</v>
      </c>
      <c r="B272" s="5" t="s">
        <v>1506</v>
      </c>
      <c r="C272" s="5" t="s">
        <v>2821</v>
      </c>
      <c r="D272" s="5" t="s">
        <v>2822</v>
      </c>
      <c r="E272" s="5" t="s">
        <v>2253</v>
      </c>
      <c r="F272" s="5" t="s">
        <v>265</v>
      </c>
      <c r="G272" s="5" t="s">
        <v>345</v>
      </c>
      <c r="H272" s="5" t="n">
        <v>6</v>
      </c>
      <c r="I272" s="5" t="s">
        <v>1829</v>
      </c>
      <c r="J272" s="5" t="s">
        <v>1507</v>
      </c>
      <c r="K272" s="5" t="s">
        <v>1508</v>
      </c>
    </row>
    <row r="273" customFormat="false" ht="15" hidden="false" customHeight="false" outlineLevel="0" collapsed="false">
      <c r="A273" s="5" t="s">
        <v>60</v>
      </c>
      <c r="B273" s="5" t="s">
        <v>2823</v>
      </c>
      <c r="C273" s="5" t="s">
        <v>2824</v>
      </c>
      <c r="D273" s="5" t="s">
        <v>2825</v>
      </c>
      <c r="E273" s="5" t="s">
        <v>2253</v>
      </c>
      <c r="F273" s="5" t="s">
        <v>265</v>
      </c>
      <c r="G273" s="5" t="s">
        <v>345</v>
      </c>
      <c r="H273" s="5" t="n">
        <v>2</v>
      </c>
      <c r="I273" s="5" t="s">
        <v>1709</v>
      </c>
      <c r="J273" s="5" t="s">
        <v>2826</v>
      </c>
      <c r="K273" s="5" t="s">
        <v>2827</v>
      </c>
    </row>
    <row r="274" customFormat="false" ht="15" hidden="false" customHeight="false" outlineLevel="0" collapsed="false">
      <c r="A274" s="5" t="s">
        <v>57</v>
      </c>
      <c r="B274" s="5" t="s">
        <v>2828</v>
      </c>
      <c r="C274" s="5" t="s">
        <v>2829</v>
      </c>
      <c r="D274" s="5" t="s">
        <v>2830</v>
      </c>
      <c r="E274" s="5" t="s">
        <v>2253</v>
      </c>
      <c r="F274" s="5" t="s">
        <v>265</v>
      </c>
      <c r="G274" s="5" t="s">
        <v>345</v>
      </c>
      <c r="H274" s="5" t="n">
        <v>4</v>
      </c>
      <c r="I274" s="5" t="s">
        <v>2831</v>
      </c>
      <c r="J274" s="5" t="s">
        <v>2832</v>
      </c>
      <c r="K274" s="5" t="s">
        <v>2833</v>
      </c>
    </row>
    <row r="275" customFormat="false" ht="15" hidden="false" customHeight="false" outlineLevel="0" collapsed="false">
      <c r="A275" s="5" t="s">
        <v>75</v>
      </c>
      <c r="B275" s="5" t="s">
        <v>2834</v>
      </c>
      <c r="C275" s="5" t="s">
        <v>2835</v>
      </c>
      <c r="D275" s="5" t="s">
        <v>2836</v>
      </c>
      <c r="E275" s="5" t="s">
        <v>2253</v>
      </c>
      <c r="F275" s="5" t="s">
        <v>265</v>
      </c>
      <c r="G275" s="5" t="s">
        <v>345</v>
      </c>
      <c r="H275" s="5" t="n">
        <v>8</v>
      </c>
      <c r="I275" s="5" t="s">
        <v>1656</v>
      </c>
      <c r="J275" s="5" t="s">
        <v>2837</v>
      </c>
      <c r="K275" s="5" t="s">
        <v>2838</v>
      </c>
    </row>
    <row r="276" customFormat="false" ht="15" hidden="false" customHeight="false" outlineLevel="0" collapsed="false">
      <c r="A276" s="5" t="s">
        <v>98</v>
      </c>
      <c r="B276" s="5" t="s">
        <v>2839</v>
      </c>
      <c r="C276" s="5" t="s">
        <v>2840</v>
      </c>
      <c r="D276" s="5" t="s">
        <v>2841</v>
      </c>
      <c r="E276" s="5" t="s">
        <v>2253</v>
      </c>
      <c r="F276" s="5" t="s">
        <v>265</v>
      </c>
      <c r="G276" s="5" t="s">
        <v>345</v>
      </c>
      <c r="H276" s="5" t="n">
        <v>35</v>
      </c>
      <c r="I276" s="5" t="s">
        <v>1635</v>
      </c>
      <c r="J276" s="5" t="s">
        <v>2842</v>
      </c>
      <c r="K276" s="5" t="s">
        <v>2843</v>
      </c>
    </row>
    <row r="277" customFormat="false" ht="15" hidden="false" customHeight="false" outlineLevel="0" collapsed="false">
      <c r="A277" s="5" t="s">
        <v>51</v>
      </c>
      <c r="B277" s="5" t="s">
        <v>2844</v>
      </c>
      <c r="C277" s="5" t="s">
        <v>2845</v>
      </c>
      <c r="D277" s="5" t="s">
        <v>2846</v>
      </c>
      <c r="E277" s="5" t="s">
        <v>2253</v>
      </c>
      <c r="F277" s="5" t="s">
        <v>265</v>
      </c>
      <c r="G277" s="5" t="s">
        <v>345</v>
      </c>
      <c r="H277" s="5" t="n">
        <v>3</v>
      </c>
      <c r="I277" s="5" t="s">
        <v>1971</v>
      </c>
      <c r="J277" s="5" t="s">
        <v>2847</v>
      </c>
      <c r="K277" s="5" t="s">
        <v>2848</v>
      </c>
    </row>
    <row r="278" customFormat="false" ht="15" hidden="false" customHeight="false" outlineLevel="0" collapsed="false">
      <c r="A278" s="5" t="s">
        <v>72</v>
      </c>
      <c r="B278" s="5" t="s">
        <v>2849</v>
      </c>
      <c r="C278" s="5" t="s">
        <v>2850</v>
      </c>
      <c r="D278" s="5" t="s">
        <v>2851</v>
      </c>
      <c r="E278" s="5" t="s">
        <v>2253</v>
      </c>
      <c r="F278" s="5" t="s">
        <v>265</v>
      </c>
      <c r="G278" s="5" t="s">
        <v>345</v>
      </c>
      <c r="H278" s="5" t="n">
        <v>6</v>
      </c>
      <c r="I278" s="5" t="s">
        <v>1709</v>
      </c>
      <c r="J278" s="5" t="s">
        <v>2852</v>
      </c>
      <c r="K278" s="5" t="s">
        <v>2853</v>
      </c>
    </row>
    <row r="279" customFormat="false" ht="15" hidden="false" customHeight="false" outlineLevel="0" collapsed="false">
      <c r="A279" s="5" t="s">
        <v>66</v>
      </c>
      <c r="B279" s="5" t="s">
        <v>2854</v>
      </c>
      <c r="C279" s="5" t="s">
        <v>2855</v>
      </c>
      <c r="D279" s="5" t="s">
        <v>2856</v>
      </c>
      <c r="E279" s="5" t="s">
        <v>2253</v>
      </c>
      <c r="F279" s="5" t="s">
        <v>265</v>
      </c>
      <c r="G279" s="5" t="s">
        <v>345</v>
      </c>
      <c r="H279" s="5" t="n">
        <v>4</v>
      </c>
      <c r="I279" s="5" t="s">
        <v>1709</v>
      </c>
      <c r="J279" s="5" t="s">
        <v>2857</v>
      </c>
      <c r="K279" s="5" t="s">
        <v>2858</v>
      </c>
    </row>
    <row r="280" customFormat="false" ht="15" hidden="false" customHeight="false" outlineLevel="0" collapsed="false">
      <c r="A280" s="5" t="s">
        <v>47</v>
      </c>
      <c r="B280" s="5" t="s">
        <v>609</v>
      </c>
      <c r="C280" s="5" t="s">
        <v>2859</v>
      </c>
      <c r="D280" s="5" t="s">
        <v>2860</v>
      </c>
      <c r="E280" s="5" t="s">
        <v>2253</v>
      </c>
      <c r="F280" s="5" t="s">
        <v>265</v>
      </c>
      <c r="G280" s="5" t="s">
        <v>345</v>
      </c>
      <c r="H280" s="5" t="n">
        <v>4</v>
      </c>
      <c r="I280" s="5" t="s">
        <v>1927</v>
      </c>
      <c r="J280" s="5" t="s">
        <v>610</v>
      </c>
      <c r="K280" s="5" t="s">
        <v>611</v>
      </c>
    </row>
    <row r="281" customFormat="false" ht="15" hidden="false" customHeight="false" outlineLevel="0" collapsed="false">
      <c r="A281" s="5" t="s">
        <v>60</v>
      </c>
      <c r="B281" s="5" t="s">
        <v>2861</v>
      </c>
      <c r="C281" s="5" t="s">
        <v>2862</v>
      </c>
      <c r="D281" s="5" t="s">
        <v>2863</v>
      </c>
      <c r="E281" s="5" t="s">
        <v>2253</v>
      </c>
      <c r="F281" s="5" t="s">
        <v>265</v>
      </c>
      <c r="G281" s="5" t="s">
        <v>345</v>
      </c>
      <c r="H281" s="5" t="n">
        <v>2</v>
      </c>
      <c r="I281" s="5" t="s">
        <v>1911</v>
      </c>
      <c r="J281" s="5" t="s">
        <v>2864</v>
      </c>
      <c r="K281" s="5" t="s">
        <v>2865</v>
      </c>
    </row>
    <row r="282" customFormat="false" ht="15" hidden="false" customHeight="false" outlineLevel="0" collapsed="false">
      <c r="A282" s="5" t="s">
        <v>46</v>
      </c>
      <c r="B282" s="5" t="s">
        <v>2866</v>
      </c>
      <c r="C282" s="5" t="s">
        <v>2867</v>
      </c>
      <c r="D282" s="5" t="s">
        <v>2868</v>
      </c>
      <c r="E282" s="5" t="s">
        <v>2253</v>
      </c>
      <c r="F282" s="5" t="s">
        <v>265</v>
      </c>
      <c r="G282" s="5" t="s">
        <v>345</v>
      </c>
      <c r="H282" s="5" t="n">
        <v>2</v>
      </c>
      <c r="I282" s="5" t="s">
        <v>2467</v>
      </c>
      <c r="J282" s="5" t="s">
        <v>2869</v>
      </c>
      <c r="K282" s="5" t="s">
        <v>2870</v>
      </c>
    </row>
    <row r="283" customFormat="false" ht="15" hidden="false" customHeight="false" outlineLevel="0" collapsed="false">
      <c r="A283" s="5" t="s">
        <v>46</v>
      </c>
      <c r="B283" s="5" t="s">
        <v>2871</v>
      </c>
      <c r="C283" s="5" t="s">
        <v>2872</v>
      </c>
      <c r="D283" s="5" t="s">
        <v>2873</v>
      </c>
      <c r="E283" s="5" t="s">
        <v>2253</v>
      </c>
      <c r="F283" s="5" t="s">
        <v>265</v>
      </c>
      <c r="G283" s="5" t="s">
        <v>345</v>
      </c>
      <c r="H283" s="5" t="n">
        <v>2</v>
      </c>
      <c r="I283" s="5" t="s">
        <v>1640</v>
      </c>
      <c r="J283" s="5" t="s">
        <v>2874</v>
      </c>
      <c r="K283" s="5" t="s">
        <v>2875</v>
      </c>
    </row>
    <row r="284" customFormat="false" ht="15" hidden="false" customHeight="false" outlineLevel="0" collapsed="false">
      <c r="A284" s="5" t="s">
        <v>63</v>
      </c>
      <c r="B284" s="5" t="s">
        <v>2876</v>
      </c>
      <c r="C284" s="5" t="s">
        <v>2877</v>
      </c>
      <c r="D284" s="5" t="s">
        <v>2878</v>
      </c>
      <c r="E284" s="5" t="s">
        <v>2253</v>
      </c>
      <c r="F284" s="5" t="s">
        <v>265</v>
      </c>
      <c r="G284" s="5" t="s">
        <v>345</v>
      </c>
      <c r="H284" s="5" t="n">
        <v>2</v>
      </c>
      <c r="I284" s="5" t="s">
        <v>1747</v>
      </c>
      <c r="J284" s="5" t="s">
        <v>2879</v>
      </c>
      <c r="K284" s="5" t="s">
        <v>2880</v>
      </c>
    </row>
    <row r="285" customFormat="false" ht="15" hidden="false" customHeight="false" outlineLevel="0" collapsed="false">
      <c r="A285" s="5" t="s">
        <v>51</v>
      </c>
      <c r="B285" s="5" t="s">
        <v>2881</v>
      </c>
      <c r="C285" s="5" t="s">
        <v>2882</v>
      </c>
      <c r="D285" s="5" t="s">
        <v>2883</v>
      </c>
      <c r="E285" s="5" t="s">
        <v>2253</v>
      </c>
      <c r="F285" s="5" t="s">
        <v>265</v>
      </c>
      <c r="G285" s="5" t="s">
        <v>345</v>
      </c>
      <c r="H285" s="5" t="n">
        <v>7</v>
      </c>
      <c r="I285" s="5" t="s">
        <v>1709</v>
      </c>
      <c r="J285" s="5" t="s">
        <v>2884</v>
      </c>
      <c r="K285" s="5" t="s">
        <v>2885</v>
      </c>
    </row>
    <row r="286" customFormat="false" ht="15" hidden="false" customHeight="false" outlineLevel="0" collapsed="false">
      <c r="A286" s="5" t="s">
        <v>86</v>
      </c>
      <c r="B286" s="5" t="s">
        <v>2886</v>
      </c>
      <c r="C286" s="5" t="s">
        <v>2887</v>
      </c>
      <c r="D286" s="5" t="s">
        <v>2888</v>
      </c>
      <c r="E286" s="5" t="s">
        <v>2253</v>
      </c>
      <c r="F286" s="5" t="s">
        <v>265</v>
      </c>
      <c r="G286" s="5" t="s">
        <v>345</v>
      </c>
      <c r="H286" s="5" t="n">
        <v>1</v>
      </c>
      <c r="I286" s="5" t="s">
        <v>1664</v>
      </c>
      <c r="J286" s="5" t="s">
        <v>2889</v>
      </c>
      <c r="K286" s="5" t="s">
        <v>2890</v>
      </c>
    </row>
    <row r="287" customFormat="false" ht="15" hidden="false" customHeight="false" outlineLevel="0" collapsed="false">
      <c r="A287" s="5" t="s">
        <v>54</v>
      </c>
      <c r="B287" s="5" t="s">
        <v>2891</v>
      </c>
      <c r="C287" s="5" t="s">
        <v>2892</v>
      </c>
      <c r="D287" s="5" t="s">
        <v>2893</v>
      </c>
      <c r="E287" s="5" t="s">
        <v>2253</v>
      </c>
      <c r="F287" s="5" t="s">
        <v>265</v>
      </c>
      <c r="G287" s="5" t="s">
        <v>345</v>
      </c>
      <c r="H287" s="5"/>
      <c r="I287" s="5" t="s">
        <v>1635</v>
      </c>
      <c r="J287" s="5" t="s">
        <v>2894</v>
      </c>
      <c r="K287" s="5" t="s">
        <v>2895</v>
      </c>
    </row>
    <row r="288" customFormat="false" ht="15" hidden="false" customHeight="false" outlineLevel="0" collapsed="false">
      <c r="A288" s="5" t="s">
        <v>80</v>
      </c>
      <c r="B288" s="5" t="s">
        <v>2896</v>
      </c>
      <c r="C288" s="5" t="s">
        <v>2897</v>
      </c>
      <c r="D288" s="5" t="s">
        <v>2898</v>
      </c>
      <c r="E288" s="5" t="s">
        <v>2253</v>
      </c>
      <c r="F288" s="5" t="s">
        <v>265</v>
      </c>
      <c r="G288" s="5" t="s">
        <v>345</v>
      </c>
      <c r="H288" s="5" t="n">
        <v>2</v>
      </c>
      <c r="I288" s="5" t="s">
        <v>1647</v>
      </c>
      <c r="J288" s="5" t="s">
        <v>2899</v>
      </c>
      <c r="K288" s="5" t="s">
        <v>2900</v>
      </c>
    </row>
    <row r="289" customFormat="false" ht="15" hidden="false" customHeight="false" outlineLevel="0" collapsed="false">
      <c r="A289" s="9" t="s">
        <v>66</v>
      </c>
      <c r="B289" s="9" t="s">
        <v>964</v>
      </c>
      <c r="C289" s="9" t="s">
        <v>2901</v>
      </c>
      <c r="D289" s="9" t="s">
        <v>2902</v>
      </c>
      <c r="E289" s="9" t="s">
        <v>2253</v>
      </c>
      <c r="F289" s="9" t="s">
        <v>190</v>
      </c>
      <c r="G289" s="9" t="s">
        <v>695</v>
      </c>
      <c r="H289" s="9" t="n">
        <v>3</v>
      </c>
      <c r="I289" s="9" t="s">
        <v>1709</v>
      </c>
      <c r="J289" s="9" t="s">
        <v>965</v>
      </c>
      <c r="K289" s="9" t="s">
        <v>966</v>
      </c>
    </row>
    <row r="290" customFormat="false" ht="15" hidden="false" customHeight="false" outlineLevel="0" collapsed="false">
      <c r="A290" s="5" t="s">
        <v>86</v>
      </c>
      <c r="B290" s="5" t="s">
        <v>2903</v>
      </c>
      <c r="C290" s="5" t="s">
        <v>2904</v>
      </c>
      <c r="D290" s="5" t="s">
        <v>2905</v>
      </c>
      <c r="E290" s="5" t="s">
        <v>2253</v>
      </c>
      <c r="F290" s="5" t="s">
        <v>265</v>
      </c>
      <c r="G290" s="5" t="s">
        <v>345</v>
      </c>
      <c r="H290" s="5" t="n">
        <v>2</v>
      </c>
      <c r="I290" s="5" t="s">
        <v>1664</v>
      </c>
      <c r="J290" s="5" t="s">
        <v>2906</v>
      </c>
      <c r="K290" s="5" t="s">
        <v>2907</v>
      </c>
    </row>
    <row r="291" customFormat="false" ht="15" hidden="false" customHeight="false" outlineLevel="0" collapsed="false">
      <c r="A291" s="5" t="s">
        <v>43</v>
      </c>
      <c r="B291" s="5" t="s">
        <v>2908</v>
      </c>
      <c r="C291" s="5" t="s">
        <v>2909</v>
      </c>
      <c r="D291" s="5" t="s">
        <v>2910</v>
      </c>
      <c r="E291" s="5" t="s">
        <v>2253</v>
      </c>
      <c r="F291" s="5" t="s">
        <v>265</v>
      </c>
      <c r="G291" s="5" t="s">
        <v>436</v>
      </c>
      <c r="H291" s="5" t="n">
        <v>10</v>
      </c>
      <c r="I291" s="5" t="s">
        <v>1709</v>
      </c>
      <c r="J291" s="5" t="s">
        <v>2911</v>
      </c>
      <c r="K291" s="5" t="s">
        <v>2912</v>
      </c>
    </row>
    <row r="292" customFormat="false" ht="15" hidden="false" customHeight="false" outlineLevel="0" collapsed="false">
      <c r="A292" s="5" t="s">
        <v>92</v>
      </c>
      <c r="B292" s="5" t="s">
        <v>2913</v>
      </c>
      <c r="C292" s="5" t="s">
        <v>2914</v>
      </c>
      <c r="D292" s="5" t="s">
        <v>2915</v>
      </c>
      <c r="E292" s="5" t="s">
        <v>2253</v>
      </c>
      <c r="F292" s="5" t="s">
        <v>265</v>
      </c>
      <c r="G292" s="5" t="s">
        <v>2916</v>
      </c>
      <c r="H292" s="5" t="n">
        <v>1</v>
      </c>
      <c r="I292" s="5" t="s">
        <v>1709</v>
      </c>
      <c r="J292" s="5" t="s">
        <v>2917</v>
      </c>
      <c r="K292" s="5" t="s">
        <v>2918</v>
      </c>
    </row>
    <row r="293" customFormat="false" ht="15" hidden="false" customHeight="false" outlineLevel="0" collapsed="false">
      <c r="A293" s="5" t="s">
        <v>43</v>
      </c>
      <c r="B293" s="5" t="s">
        <v>471</v>
      </c>
      <c r="C293" s="5" t="s">
        <v>2919</v>
      </c>
      <c r="D293" s="5" t="s">
        <v>2920</v>
      </c>
      <c r="E293" s="5" t="s">
        <v>2253</v>
      </c>
      <c r="F293" s="5" t="s">
        <v>265</v>
      </c>
      <c r="G293" s="5" t="s">
        <v>436</v>
      </c>
      <c r="H293" s="5" t="n">
        <v>3</v>
      </c>
      <c r="I293" s="5" t="s">
        <v>1747</v>
      </c>
      <c r="J293" s="5" t="s">
        <v>472</v>
      </c>
      <c r="K293" s="5" t="s">
        <v>473</v>
      </c>
    </row>
    <row r="294" customFormat="false" ht="15" hidden="false" customHeight="false" outlineLevel="0" collapsed="false">
      <c r="A294" s="5" t="s">
        <v>80</v>
      </c>
      <c r="B294" s="5" t="s">
        <v>2921</v>
      </c>
      <c r="C294" s="5" t="s">
        <v>2922</v>
      </c>
      <c r="D294" s="5" t="s">
        <v>2923</v>
      </c>
      <c r="E294" s="5" t="s">
        <v>2253</v>
      </c>
      <c r="F294" s="5" t="s">
        <v>265</v>
      </c>
      <c r="G294" s="5" t="s">
        <v>345</v>
      </c>
      <c r="H294" s="5" t="n">
        <v>4</v>
      </c>
      <c r="I294" s="5" t="s">
        <v>2248</v>
      </c>
      <c r="J294" s="5" t="s">
        <v>2924</v>
      </c>
      <c r="K294" s="5" t="s">
        <v>2925</v>
      </c>
    </row>
    <row r="295" customFormat="false" ht="15" hidden="false" customHeight="false" outlineLevel="0" collapsed="false">
      <c r="A295" s="5" t="s">
        <v>66</v>
      </c>
      <c r="B295" s="5" t="s">
        <v>2926</v>
      </c>
      <c r="C295" s="5" t="s">
        <v>2927</v>
      </c>
      <c r="D295" s="5" t="s">
        <v>2928</v>
      </c>
      <c r="E295" s="5" t="s">
        <v>2253</v>
      </c>
      <c r="F295" s="5" t="s">
        <v>265</v>
      </c>
      <c r="G295" s="5" t="s">
        <v>436</v>
      </c>
      <c r="H295" s="5" t="n">
        <v>1</v>
      </c>
      <c r="I295" s="5" t="s">
        <v>1709</v>
      </c>
      <c r="J295" s="5"/>
      <c r="K295" s="5" t="s">
        <v>2929</v>
      </c>
    </row>
    <row r="296" customFormat="false" ht="15" hidden="false" customHeight="false" outlineLevel="0" collapsed="false">
      <c r="A296" s="5" t="s">
        <v>75</v>
      </c>
      <c r="B296" s="5" t="s">
        <v>1132</v>
      </c>
      <c r="C296" s="5" t="s">
        <v>2930</v>
      </c>
      <c r="D296" s="5" t="s">
        <v>2931</v>
      </c>
      <c r="E296" s="5" t="s">
        <v>2253</v>
      </c>
      <c r="F296" s="5" t="s">
        <v>265</v>
      </c>
      <c r="G296" s="5" t="s">
        <v>345</v>
      </c>
      <c r="H296" s="5" t="n">
        <v>5</v>
      </c>
      <c r="I296" s="5" t="s">
        <v>1656</v>
      </c>
      <c r="J296" s="5" t="s">
        <v>1133</v>
      </c>
      <c r="K296" s="5" t="s">
        <v>1134</v>
      </c>
    </row>
    <row r="297" customFormat="false" ht="15" hidden="false" customHeight="false" outlineLevel="0" collapsed="false">
      <c r="A297" s="5" t="s">
        <v>66</v>
      </c>
      <c r="B297" s="5" t="s">
        <v>968</v>
      </c>
      <c r="C297" s="5" t="s">
        <v>2932</v>
      </c>
      <c r="D297" s="5" t="s">
        <v>2933</v>
      </c>
      <c r="E297" s="5" t="s">
        <v>2253</v>
      </c>
      <c r="F297" s="5" t="s">
        <v>265</v>
      </c>
      <c r="G297" s="5" t="s">
        <v>345</v>
      </c>
      <c r="H297" s="5" t="n">
        <v>2</v>
      </c>
      <c r="I297" s="5" t="s">
        <v>1656</v>
      </c>
      <c r="J297" s="5" t="s">
        <v>969</v>
      </c>
      <c r="K297" s="5" t="s">
        <v>970</v>
      </c>
    </row>
    <row r="298" customFormat="false" ht="15" hidden="false" customHeight="false" outlineLevel="0" collapsed="false">
      <c r="A298" s="5" t="s">
        <v>76</v>
      </c>
      <c r="B298" s="5" t="s">
        <v>1181</v>
      </c>
      <c r="C298" s="5" t="s">
        <v>2934</v>
      </c>
      <c r="D298" s="5" t="s">
        <v>2935</v>
      </c>
      <c r="E298" s="5" t="s">
        <v>2253</v>
      </c>
      <c r="F298" s="5" t="s">
        <v>104</v>
      </c>
      <c r="G298" s="5"/>
      <c r="H298" s="5" t="n">
        <v>8</v>
      </c>
      <c r="I298" s="5" t="s">
        <v>1709</v>
      </c>
      <c r="J298" s="5" t="s">
        <v>1182</v>
      </c>
      <c r="K298" s="5" t="s">
        <v>1183</v>
      </c>
    </row>
    <row r="299" customFormat="false" ht="15" hidden="false" customHeight="false" outlineLevel="0" collapsed="false">
      <c r="A299" s="5" t="s">
        <v>47</v>
      </c>
      <c r="B299" s="5" t="s">
        <v>2936</v>
      </c>
      <c r="C299" s="5" t="s">
        <v>2937</v>
      </c>
      <c r="D299" s="5" t="s">
        <v>2938</v>
      </c>
      <c r="E299" s="5" t="s">
        <v>2253</v>
      </c>
      <c r="F299" s="5" t="s">
        <v>265</v>
      </c>
      <c r="G299" s="5" t="s">
        <v>2939</v>
      </c>
      <c r="H299" s="5" t="n">
        <v>3</v>
      </c>
      <c r="I299" s="5" t="s">
        <v>1898</v>
      </c>
      <c r="J299" s="5" t="s">
        <v>2940</v>
      </c>
      <c r="K299" s="5" t="s">
        <v>2941</v>
      </c>
    </row>
    <row r="300" customFormat="false" ht="15" hidden="false" customHeight="false" outlineLevel="0" collapsed="false">
      <c r="A300" s="5" t="s">
        <v>83</v>
      </c>
      <c r="B300" s="5" t="s">
        <v>2942</v>
      </c>
      <c r="C300" s="5" t="s">
        <v>2943</v>
      </c>
      <c r="D300" s="5" t="s">
        <v>2944</v>
      </c>
      <c r="E300" s="5" t="s">
        <v>2253</v>
      </c>
      <c r="F300" s="5" t="s">
        <v>104</v>
      </c>
      <c r="G300" s="5" t="s">
        <v>445</v>
      </c>
      <c r="H300" s="5" t="n">
        <v>7</v>
      </c>
      <c r="I300" s="5" t="s">
        <v>1876</v>
      </c>
      <c r="J300" s="5" t="s">
        <v>2945</v>
      </c>
      <c r="K300" s="5" t="s">
        <v>2946</v>
      </c>
    </row>
    <row r="301" customFormat="false" ht="15" hidden="false" customHeight="false" outlineLevel="0" collapsed="false">
      <c r="A301" s="5" t="s">
        <v>66</v>
      </c>
      <c r="B301" s="5" t="s">
        <v>2947</v>
      </c>
      <c r="C301" s="5" t="s">
        <v>2948</v>
      </c>
      <c r="D301" s="5" t="s">
        <v>2949</v>
      </c>
      <c r="E301" s="5" t="s">
        <v>2253</v>
      </c>
      <c r="F301" s="5" t="s">
        <v>265</v>
      </c>
      <c r="G301" s="5" t="s">
        <v>345</v>
      </c>
      <c r="H301" s="5" t="n">
        <v>2</v>
      </c>
      <c r="I301" s="5" t="s">
        <v>1664</v>
      </c>
      <c r="J301" s="5" t="s">
        <v>2950</v>
      </c>
      <c r="K301" s="5" t="s">
        <v>2951</v>
      </c>
    </row>
    <row r="302" customFormat="false" ht="15" hidden="false" customHeight="false" outlineLevel="0" collapsed="false">
      <c r="A302" s="5" t="s">
        <v>89</v>
      </c>
      <c r="B302" s="5" t="s">
        <v>2952</v>
      </c>
      <c r="C302" s="5" t="s">
        <v>2953</v>
      </c>
      <c r="D302" s="5" t="s">
        <v>2954</v>
      </c>
      <c r="E302" s="5" t="s">
        <v>2253</v>
      </c>
      <c r="F302" s="5" t="s">
        <v>104</v>
      </c>
      <c r="G302" s="5" t="s">
        <v>579</v>
      </c>
      <c r="H302" s="5" t="n">
        <v>5</v>
      </c>
      <c r="I302" s="5" t="s">
        <v>1694</v>
      </c>
      <c r="J302" s="5" t="s">
        <v>2955</v>
      </c>
      <c r="K302" s="5" t="s">
        <v>2956</v>
      </c>
    </row>
    <row r="303" customFormat="false" ht="15" hidden="false" customHeight="false" outlineLevel="0" collapsed="false">
      <c r="A303" s="5" t="s">
        <v>80</v>
      </c>
      <c r="B303" s="5" t="s">
        <v>1226</v>
      </c>
      <c r="C303" s="5" t="s">
        <v>2957</v>
      </c>
      <c r="D303" s="5" t="s">
        <v>2958</v>
      </c>
      <c r="E303" s="5" t="s">
        <v>2253</v>
      </c>
      <c r="F303" s="5" t="s">
        <v>104</v>
      </c>
      <c r="G303" s="5" t="s">
        <v>1227</v>
      </c>
      <c r="H303" s="5" t="n">
        <v>3</v>
      </c>
      <c r="I303" s="5" t="s">
        <v>1647</v>
      </c>
      <c r="J303" s="5" t="s">
        <v>1228</v>
      </c>
      <c r="K303" s="5" t="s">
        <v>1229</v>
      </c>
    </row>
    <row r="304" customFormat="false" ht="15" hidden="false" customHeight="false" outlineLevel="0" collapsed="false">
      <c r="A304" s="5" t="s">
        <v>72</v>
      </c>
      <c r="B304" s="5" t="s">
        <v>2959</v>
      </c>
      <c r="C304" s="5" t="s">
        <v>2960</v>
      </c>
      <c r="D304" s="5" t="s">
        <v>2961</v>
      </c>
      <c r="E304" s="5" t="s">
        <v>2253</v>
      </c>
      <c r="F304" s="5" t="s">
        <v>265</v>
      </c>
      <c r="G304" s="5" t="s">
        <v>345</v>
      </c>
      <c r="H304" s="5" t="n">
        <v>4</v>
      </c>
      <c r="I304" s="5" t="s">
        <v>1656</v>
      </c>
      <c r="J304" s="5" t="s">
        <v>2962</v>
      </c>
      <c r="K304" s="5" t="s">
        <v>2963</v>
      </c>
    </row>
    <row r="305" customFormat="false" ht="15" hidden="false" customHeight="false" outlineLevel="0" collapsed="false">
      <c r="A305" s="5" t="s">
        <v>69</v>
      </c>
      <c r="B305" s="5" t="s">
        <v>2964</v>
      </c>
      <c r="C305" s="5" t="s">
        <v>2965</v>
      </c>
      <c r="D305" s="5" t="s">
        <v>2966</v>
      </c>
      <c r="E305" s="5" t="s">
        <v>2253</v>
      </c>
      <c r="F305" s="5" t="s">
        <v>104</v>
      </c>
      <c r="G305" s="5"/>
      <c r="H305" s="5" t="n">
        <v>2</v>
      </c>
      <c r="I305" s="5" t="s">
        <v>1664</v>
      </c>
      <c r="J305" s="5" t="s">
        <v>2967</v>
      </c>
      <c r="K305" s="5" t="s">
        <v>2968</v>
      </c>
    </row>
    <row r="306" customFormat="false" ht="15" hidden="false" customHeight="false" outlineLevel="0" collapsed="false">
      <c r="A306" s="5" t="s">
        <v>54</v>
      </c>
      <c r="B306" s="5" t="s">
        <v>770</v>
      </c>
      <c r="C306" s="5" t="s">
        <v>2969</v>
      </c>
      <c r="D306" s="5" t="s">
        <v>2970</v>
      </c>
      <c r="E306" s="5" t="s">
        <v>2253</v>
      </c>
      <c r="F306" s="5" t="s">
        <v>265</v>
      </c>
      <c r="G306" s="5" t="s">
        <v>345</v>
      </c>
      <c r="H306" s="5" t="n">
        <v>2</v>
      </c>
      <c r="I306" s="5" t="s">
        <v>1709</v>
      </c>
      <c r="J306" s="5" t="s">
        <v>771</v>
      </c>
      <c r="K306" s="5" t="s">
        <v>772</v>
      </c>
    </row>
    <row r="307" customFormat="false" ht="15" hidden="false" customHeight="false" outlineLevel="0" collapsed="false">
      <c r="A307" s="5" t="s">
        <v>98</v>
      </c>
      <c r="B307" s="5" t="s">
        <v>2971</v>
      </c>
      <c r="C307" s="5" t="s">
        <v>2972</v>
      </c>
      <c r="D307" s="5" t="s">
        <v>2973</v>
      </c>
      <c r="E307" s="5" t="s">
        <v>2253</v>
      </c>
      <c r="F307" s="5" t="s">
        <v>104</v>
      </c>
      <c r="G307" s="5"/>
      <c r="H307" s="5" t="n">
        <v>2</v>
      </c>
      <c r="I307" s="5" t="s">
        <v>1747</v>
      </c>
      <c r="J307" s="5" t="s">
        <v>2974</v>
      </c>
      <c r="K307" s="5" t="s">
        <v>2975</v>
      </c>
    </row>
    <row r="308" customFormat="false" ht="15" hidden="false" customHeight="false" outlineLevel="0" collapsed="false">
      <c r="A308" s="5" t="s">
        <v>54</v>
      </c>
      <c r="B308" s="5" t="s">
        <v>2976</v>
      </c>
      <c r="C308" s="5" t="s">
        <v>2977</v>
      </c>
      <c r="D308" s="5" t="s">
        <v>2978</v>
      </c>
      <c r="E308" s="5" t="s">
        <v>2253</v>
      </c>
      <c r="F308" s="5" t="s">
        <v>104</v>
      </c>
      <c r="G308" s="5" t="s">
        <v>450</v>
      </c>
      <c r="H308" s="5" t="n">
        <v>2</v>
      </c>
      <c r="I308" s="5" t="s">
        <v>1629</v>
      </c>
      <c r="J308" s="5" t="s">
        <v>2979</v>
      </c>
      <c r="K308" s="5" t="s">
        <v>2980</v>
      </c>
    </row>
    <row r="309" customFormat="false" ht="15" hidden="false" customHeight="false" outlineLevel="0" collapsed="false">
      <c r="A309" s="5" t="s">
        <v>98</v>
      </c>
      <c r="B309" s="5" t="s">
        <v>2981</v>
      </c>
      <c r="C309" s="5" t="s">
        <v>2982</v>
      </c>
      <c r="D309" s="5" t="s">
        <v>2983</v>
      </c>
      <c r="E309" s="5" t="s">
        <v>2253</v>
      </c>
      <c r="F309" s="5" t="s">
        <v>265</v>
      </c>
      <c r="G309" s="5" t="s">
        <v>345</v>
      </c>
      <c r="H309" s="5" t="n">
        <v>2</v>
      </c>
      <c r="I309" s="5" t="s">
        <v>1664</v>
      </c>
      <c r="J309" s="5" t="s">
        <v>2984</v>
      </c>
      <c r="K309" s="5" t="s">
        <v>2985</v>
      </c>
    </row>
    <row r="310" customFormat="false" ht="15" hidden="false" customHeight="false" outlineLevel="0" collapsed="false">
      <c r="A310" s="5" t="s">
        <v>69</v>
      </c>
      <c r="B310" s="5" t="s">
        <v>2986</v>
      </c>
      <c r="C310" s="5" t="s">
        <v>2987</v>
      </c>
      <c r="D310" s="5" t="s">
        <v>2988</v>
      </c>
      <c r="E310" s="5" t="s">
        <v>2253</v>
      </c>
      <c r="F310" s="5" t="s">
        <v>104</v>
      </c>
      <c r="G310" s="5" t="s">
        <v>445</v>
      </c>
      <c r="H310" s="5" t="n">
        <v>1</v>
      </c>
      <c r="I310" s="5" t="s">
        <v>1664</v>
      </c>
      <c r="J310" s="5" t="s">
        <v>2989</v>
      </c>
      <c r="K310" s="5" t="s">
        <v>2990</v>
      </c>
    </row>
    <row r="311" customFormat="false" ht="15" hidden="false" customHeight="false" outlineLevel="0" collapsed="false">
      <c r="A311" s="5" t="s">
        <v>63</v>
      </c>
      <c r="B311" s="5" t="s">
        <v>2991</v>
      </c>
      <c r="C311" s="5" t="s">
        <v>2992</v>
      </c>
      <c r="D311" s="5" t="s">
        <v>2993</v>
      </c>
      <c r="E311" s="5" t="s">
        <v>2253</v>
      </c>
      <c r="F311" s="5" t="s">
        <v>265</v>
      </c>
      <c r="G311" s="5" t="s">
        <v>345</v>
      </c>
      <c r="H311" s="5" t="n">
        <v>3</v>
      </c>
      <c r="I311" s="5" t="s">
        <v>1709</v>
      </c>
      <c r="J311" s="5" t="s">
        <v>2994</v>
      </c>
      <c r="K311" s="5" t="s">
        <v>2995</v>
      </c>
    </row>
    <row r="312" customFormat="false" ht="15" hidden="false" customHeight="false" outlineLevel="0" collapsed="false">
      <c r="A312" s="5" t="s">
        <v>89</v>
      </c>
      <c r="B312" s="5" t="s">
        <v>1412</v>
      </c>
      <c r="C312" s="5" t="s">
        <v>2996</v>
      </c>
      <c r="D312" s="5" t="s">
        <v>2997</v>
      </c>
      <c r="E312" s="5" t="s">
        <v>2253</v>
      </c>
      <c r="F312" s="5" t="s">
        <v>265</v>
      </c>
      <c r="G312" s="5" t="s">
        <v>345</v>
      </c>
      <c r="H312" s="5" t="n">
        <v>2</v>
      </c>
      <c r="I312" s="5" t="s">
        <v>1847</v>
      </c>
      <c r="J312" s="5" t="s">
        <v>1413</v>
      </c>
      <c r="K312" s="5" t="s">
        <v>1414</v>
      </c>
    </row>
    <row r="313" customFormat="false" ht="15" hidden="false" customHeight="false" outlineLevel="0" collapsed="false">
      <c r="A313" s="5" t="s">
        <v>86</v>
      </c>
      <c r="B313" s="5" t="s">
        <v>2998</v>
      </c>
      <c r="C313" s="5" t="s">
        <v>2999</v>
      </c>
      <c r="D313" s="5" t="s">
        <v>3000</v>
      </c>
      <c r="E313" s="5" t="s">
        <v>2253</v>
      </c>
      <c r="F313" s="5" t="s">
        <v>104</v>
      </c>
      <c r="G313" s="5" t="s">
        <v>445</v>
      </c>
      <c r="H313" s="5" t="n">
        <v>5</v>
      </c>
      <c r="I313" s="5" t="s">
        <v>2248</v>
      </c>
      <c r="J313" s="5" t="s">
        <v>3001</v>
      </c>
      <c r="K313" s="5" t="s">
        <v>3002</v>
      </c>
    </row>
    <row r="314" customFormat="false" ht="15" hidden="false" customHeight="false" outlineLevel="0" collapsed="false">
      <c r="A314" s="5" t="s">
        <v>60</v>
      </c>
      <c r="B314" s="5" t="s">
        <v>3003</v>
      </c>
      <c r="C314" s="5" t="s">
        <v>3004</v>
      </c>
      <c r="D314" s="5" t="s">
        <v>3005</v>
      </c>
      <c r="E314" s="5" t="s">
        <v>2253</v>
      </c>
      <c r="F314" s="5" t="s">
        <v>104</v>
      </c>
      <c r="G314" s="5" t="s">
        <v>459</v>
      </c>
      <c r="H314" s="5" t="n">
        <v>4</v>
      </c>
      <c r="I314" s="5" t="s">
        <v>1709</v>
      </c>
      <c r="J314" s="5" t="s">
        <v>3006</v>
      </c>
      <c r="K314" s="5" t="s">
        <v>3007</v>
      </c>
    </row>
    <row r="315" customFormat="false" ht="15" hidden="false" customHeight="false" outlineLevel="0" collapsed="false">
      <c r="A315" s="5" t="s">
        <v>92</v>
      </c>
      <c r="B315" s="5" t="s">
        <v>3008</v>
      </c>
      <c r="C315" s="5" t="s">
        <v>3009</v>
      </c>
      <c r="D315" s="5" t="s">
        <v>3010</v>
      </c>
      <c r="E315" s="5" t="s">
        <v>2253</v>
      </c>
      <c r="F315" s="5" t="s">
        <v>265</v>
      </c>
      <c r="G315" s="5" t="s">
        <v>345</v>
      </c>
      <c r="H315" s="5" t="n">
        <v>2</v>
      </c>
      <c r="I315" s="5" t="s">
        <v>1811</v>
      </c>
      <c r="J315" s="5" t="s">
        <v>3011</v>
      </c>
      <c r="K315" s="5" t="s">
        <v>3012</v>
      </c>
    </row>
    <row r="316" customFormat="false" ht="15" hidden="false" customHeight="false" outlineLevel="0" collapsed="false">
      <c r="A316" s="5" t="s">
        <v>92</v>
      </c>
      <c r="B316" s="5" t="s">
        <v>3013</v>
      </c>
      <c r="C316" s="5" t="s">
        <v>3014</v>
      </c>
      <c r="D316" s="5" t="s">
        <v>3015</v>
      </c>
      <c r="E316" s="5" t="s">
        <v>2253</v>
      </c>
      <c r="F316" s="5" t="s">
        <v>265</v>
      </c>
      <c r="G316" s="5" t="s">
        <v>345</v>
      </c>
      <c r="H316" s="5" t="n">
        <v>2</v>
      </c>
      <c r="I316" s="5" t="s">
        <v>1664</v>
      </c>
      <c r="J316" s="5" t="s">
        <v>3016</v>
      </c>
      <c r="K316" s="5" t="s">
        <v>3017</v>
      </c>
    </row>
    <row r="317" customFormat="false" ht="15" hidden="false" customHeight="false" outlineLevel="0" collapsed="false">
      <c r="A317" s="5" t="s">
        <v>76</v>
      </c>
      <c r="B317" s="5" t="s">
        <v>3018</v>
      </c>
      <c r="C317" s="5" t="s">
        <v>3019</v>
      </c>
      <c r="D317" s="5" t="s">
        <v>3020</v>
      </c>
      <c r="E317" s="5" t="s">
        <v>2253</v>
      </c>
      <c r="F317" s="5" t="s">
        <v>104</v>
      </c>
      <c r="G317" s="5" t="s">
        <v>579</v>
      </c>
      <c r="H317" s="5" t="n">
        <v>2</v>
      </c>
      <c r="I317" s="5" t="s">
        <v>1709</v>
      </c>
      <c r="J317" s="5" t="s">
        <v>3021</v>
      </c>
      <c r="K317" s="5" t="s">
        <v>3022</v>
      </c>
    </row>
    <row r="318" customFormat="false" ht="15" hidden="false" customHeight="false" outlineLevel="0" collapsed="false">
      <c r="A318" s="5" t="s">
        <v>72</v>
      </c>
      <c r="B318" s="5" t="s">
        <v>3023</v>
      </c>
      <c r="C318" s="5" t="s">
        <v>3024</v>
      </c>
      <c r="D318" s="5" t="s">
        <v>3025</v>
      </c>
      <c r="E318" s="5" t="s">
        <v>2253</v>
      </c>
      <c r="F318" s="5" t="s">
        <v>265</v>
      </c>
      <c r="G318" s="5" t="s">
        <v>345</v>
      </c>
      <c r="H318" s="5" t="n">
        <v>3</v>
      </c>
      <c r="I318" s="5" t="s">
        <v>1709</v>
      </c>
      <c r="J318" s="5" t="s">
        <v>3026</v>
      </c>
      <c r="K318" s="5" t="s">
        <v>3027</v>
      </c>
    </row>
    <row r="319" customFormat="false" ht="15" hidden="false" customHeight="false" outlineLevel="0" collapsed="false">
      <c r="A319" s="5" t="s">
        <v>47</v>
      </c>
      <c r="B319" s="5" t="s">
        <v>621</v>
      </c>
      <c r="C319" s="5" t="s">
        <v>3028</v>
      </c>
      <c r="D319" s="5" t="s">
        <v>3029</v>
      </c>
      <c r="E319" s="5" t="s">
        <v>2253</v>
      </c>
      <c r="F319" s="5" t="s">
        <v>265</v>
      </c>
      <c r="G319" s="5" t="s">
        <v>436</v>
      </c>
      <c r="H319" s="5" t="n">
        <v>2</v>
      </c>
      <c r="I319" s="5" t="s">
        <v>1709</v>
      </c>
      <c r="J319" s="5" t="s">
        <v>622</v>
      </c>
      <c r="K319" s="5" t="s">
        <v>623</v>
      </c>
    </row>
    <row r="320" customFormat="false" ht="15" hidden="false" customHeight="false" outlineLevel="0" collapsed="false">
      <c r="A320" s="5" t="s">
        <v>51</v>
      </c>
      <c r="B320" s="5" t="s">
        <v>3030</v>
      </c>
      <c r="C320" s="5" t="s">
        <v>3031</v>
      </c>
      <c r="D320" s="5" t="s">
        <v>3032</v>
      </c>
      <c r="E320" s="5" t="s">
        <v>2253</v>
      </c>
      <c r="F320" s="5" t="s">
        <v>265</v>
      </c>
      <c r="G320" s="5" t="s">
        <v>345</v>
      </c>
      <c r="H320" s="5" t="n">
        <v>4</v>
      </c>
      <c r="I320" s="5" t="s">
        <v>1971</v>
      </c>
      <c r="J320" s="5" t="s">
        <v>3033</v>
      </c>
      <c r="K320" s="5" t="s">
        <v>3034</v>
      </c>
    </row>
    <row r="321" customFormat="false" ht="15" hidden="false" customHeight="false" outlineLevel="0" collapsed="false">
      <c r="A321" s="5" t="s">
        <v>86</v>
      </c>
      <c r="B321" s="5" t="s">
        <v>3035</v>
      </c>
      <c r="C321" s="5" t="s">
        <v>3036</v>
      </c>
      <c r="D321" s="5" t="s">
        <v>3037</v>
      </c>
      <c r="E321" s="5" t="s">
        <v>2253</v>
      </c>
      <c r="F321" s="5" t="s">
        <v>265</v>
      </c>
      <c r="G321" s="5" t="s">
        <v>345</v>
      </c>
      <c r="H321" s="5" t="n">
        <v>2</v>
      </c>
      <c r="I321" s="5" t="s">
        <v>2248</v>
      </c>
      <c r="J321" s="5" t="s">
        <v>3038</v>
      </c>
      <c r="K321" s="5" t="s">
        <v>3039</v>
      </c>
    </row>
    <row r="322" customFormat="false" ht="15" hidden="false" customHeight="false" outlineLevel="0" collapsed="false">
      <c r="A322" s="5" t="s">
        <v>63</v>
      </c>
      <c r="B322" s="5" t="s">
        <v>3040</v>
      </c>
      <c r="C322" s="5" t="s">
        <v>3041</v>
      </c>
      <c r="D322" s="5" t="s">
        <v>3042</v>
      </c>
      <c r="E322" s="5" t="s">
        <v>2253</v>
      </c>
      <c r="F322" s="5" t="s">
        <v>265</v>
      </c>
      <c r="G322" s="5" t="s">
        <v>345</v>
      </c>
      <c r="H322" s="5" t="n">
        <v>2</v>
      </c>
      <c r="I322" s="5" t="s">
        <v>1656</v>
      </c>
      <c r="J322" s="5" t="s">
        <v>3043</v>
      </c>
      <c r="K322" s="5" t="s">
        <v>3044</v>
      </c>
    </row>
    <row r="323" customFormat="false" ht="15" hidden="false" customHeight="false" outlineLevel="0" collapsed="false">
      <c r="A323" s="5" t="s">
        <v>75</v>
      </c>
      <c r="B323" s="5" t="s">
        <v>3045</v>
      </c>
      <c r="C323" s="5" t="s">
        <v>3046</v>
      </c>
      <c r="D323" s="5"/>
      <c r="E323" s="5" t="s">
        <v>2253</v>
      </c>
      <c r="F323" s="5" t="s">
        <v>265</v>
      </c>
      <c r="G323" s="5" t="s">
        <v>345</v>
      </c>
      <c r="H323" s="5" t="n">
        <v>1</v>
      </c>
      <c r="I323" s="5" t="s">
        <v>1709</v>
      </c>
      <c r="J323" s="5" t="s">
        <v>3047</v>
      </c>
      <c r="K323" s="5" t="s">
        <v>3048</v>
      </c>
    </row>
    <row r="324" customFormat="false" ht="15" hidden="false" customHeight="false" outlineLevel="0" collapsed="false">
      <c r="A324" s="5" t="s">
        <v>104</v>
      </c>
      <c r="B324" s="5" t="s">
        <v>3049</v>
      </c>
      <c r="C324" s="5" t="s">
        <v>3050</v>
      </c>
      <c r="D324" s="5" t="s">
        <v>3050</v>
      </c>
      <c r="E324" s="5" t="s">
        <v>2253</v>
      </c>
      <c r="F324" s="5" t="s">
        <v>265</v>
      </c>
      <c r="G324" s="5" t="s">
        <v>345</v>
      </c>
      <c r="H324" s="5" t="n">
        <v>4</v>
      </c>
      <c r="I324" s="5" t="s">
        <v>2550</v>
      </c>
      <c r="J324" s="5" t="s">
        <v>3051</v>
      </c>
      <c r="K324" s="5" t="s">
        <v>3052</v>
      </c>
    </row>
    <row r="325" customFormat="false" ht="15" hidden="false" customHeight="false" outlineLevel="0" collapsed="false">
      <c r="A325" s="5" t="s">
        <v>98</v>
      </c>
      <c r="B325" s="5" t="s">
        <v>3053</v>
      </c>
      <c r="C325" s="5" t="s">
        <v>3054</v>
      </c>
      <c r="D325" s="5" t="s">
        <v>3055</v>
      </c>
      <c r="E325" s="5" t="s">
        <v>2253</v>
      </c>
      <c r="F325" s="5" t="s">
        <v>265</v>
      </c>
      <c r="G325" s="5" t="s">
        <v>345</v>
      </c>
      <c r="H325" s="5" t="n">
        <v>3</v>
      </c>
      <c r="I325" s="5" t="s">
        <v>1709</v>
      </c>
      <c r="J325" s="5" t="s">
        <v>3056</v>
      </c>
      <c r="K325" s="5" t="s">
        <v>3057</v>
      </c>
    </row>
    <row r="326" customFormat="false" ht="15" hidden="false" customHeight="false" outlineLevel="0" collapsed="false">
      <c r="A326" s="5" t="s">
        <v>89</v>
      </c>
      <c r="B326" s="5" t="s">
        <v>3058</v>
      </c>
      <c r="C326" s="5" t="s">
        <v>3059</v>
      </c>
      <c r="D326" s="5" t="s">
        <v>3060</v>
      </c>
      <c r="E326" s="5" t="s">
        <v>2253</v>
      </c>
      <c r="F326" s="5" t="s">
        <v>265</v>
      </c>
      <c r="G326" s="5" t="s">
        <v>436</v>
      </c>
      <c r="H326" s="5" t="n">
        <v>3</v>
      </c>
      <c r="I326" s="5" t="s">
        <v>3061</v>
      </c>
      <c r="J326" s="5" t="s">
        <v>3062</v>
      </c>
      <c r="K326" s="5" t="s">
        <v>3063</v>
      </c>
    </row>
    <row r="327" customFormat="false" ht="15" hidden="false" customHeight="false" outlineLevel="0" collapsed="false">
      <c r="A327" s="5" t="s">
        <v>51</v>
      </c>
      <c r="B327" s="5" t="s">
        <v>3064</v>
      </c>
      <c r="C327" s="5" t="s">
        <v>3065</v>
      </c>
      <c r="D327" s="5" t="s">
        <v>3066</v>
      </c>
      <c r="E327" s="5" t="s">
        <v>2253</v>
      </c>
      <c r="F327" s="5" t="s">
        <v>265</v>
      </c>
      <c r="G327" s="5" t="s">
        <v>345</v>
      </c>
      <c r="H327" s="5" t="n">
        <v>2</v>
      </c>
      <c r="I327" s="5" t="s">
        <v>1747</v>
      </c>
      <c r="J327" s="5" t="s">
        <v>3067</v>
      </c>
      <c r="K327" s="5" t="s">
        <v>3068</v>
      </c>
    </row>
    <row r="328" customFormat="false" ht="15" hidden="false" customHeight="false" outlineLevel="0" collapsed="false">
      <c r="A328" s="5" t="s">
        <v>89</v>
      </c>
      <c r="B328" s="5" t="s">
        <v>3069</v>
      </c>
      <c r="C328" s="5" t="s">
        <v>3070</v>
      </c>
      <c r="D328" s="5" t="s">
        <v>3071</v>
      </c>
      <c r="E328" s="5" t="s">
        <v>2253</v>
      </c>
      <c r="F328" s="5" t="s">
        <v>265</v>
      </c>
      <c r="G328" s="5" t="s">
        <v>345</v>
      </c>
      <c r="H328" s="5" t="n">
        <v>3</v>
      </c>
      <c r="I328" s="5" t="s">
        <v>1847</v>
      </c>
      <c r="J328" s="5" t="s">
        <v>3072</v>
      </c>
      <c r="K328" s="5" t="s">
        <v>3073</v>
      </c>
    </row>
    <row r="329" customFormat="false" ht="15" hidden="false" customHeight="false" outlineLevel="0" collapsed="false">
      <c r="A329" s="5" t="s">
        <v>89</v>
      </c>
      <c r="B329" s="5" t="s">
        <v>3074</v>
      </c>
      <c r="C329" s="5" t="s">
        <v>3075</v>
      </c>
      <c r="D329" s="5" t="s">
        <v>3076</v>
      </c>
      <c r="E329" s="5" t="s">
        <v>2253</v>
      </c>
      <c r="F329" s="5" t="s">
        <v>265</v>
      </c>
      <c r="G329" s="5" t="s">
        <v>345</v>
      </c>
      <c r="H329" s="5" t="n">
        <v>3</v>
      </c>
      <c r="I329" s="5" t="s">
        <v>1664</v>
      </c>
      <c r="J329" s="5" t="s">
        <v>3077</v>
      </c>
      <c r="K329" s="5" t="s">
        <v>3078</v>
      </c>
    </row>
    <row r="330" customFormat="false" ht="15" hidden="false" customHeight="false" outlineLevel="0" collapsed="false">
      <c r="A330" s="5" t="s">
        <v>40</v>
      </c>
      <c r="B330" s="5" t="s">
        <v>3079</v>
      </c>
      <c r="C330" s="5" t="s">
        <v>3080</v>
      </c>
      <c r="D330" s="5" t="s">
        <v>3081</v>
      </c>
      <c r="E330" s="5" t="s">
        <v>2253</v>
      </c>
      <c r="F330" s="5" t="s">
        <v>265</v>
      </c>
      <c r="G330" s="5" t="s">
        <v>345</v>
      </c>
      <c r="H330" s="5" t="n">
        <v>9</v>
      </c>
      <c r="I330" s="5" t="s">
        <v>1760</v>
      </c>
      <c r="J330" s="5" t="s">
        <v>3082</v>
      </c>
      <c r="K330" s="5" t="s">
        <v>3083</v>
      </c>
    </row>
    <row r="331" customFormat="false" ht="15" hidden="false" customHeight="false" outlineLevel="0" collapsed="false">
      <c r="A331" s="5" t="s">
        <v>57</v>
      </c>
      <c r="B331" s="5" t="s">
        <v>3084</v>
      </c>
      <c r="C331" s="5" t="s">
        <v>3085</v>
      </c>
      <c r="D331" s="5" t="s">
        <v>3086</v>
      </c>
      <c r="E331" s="5" t="s">
        <v>2253</v>
      </c>
      <c r="F331" s="5" t="s">
        <v>265</v>
      </c>
      <c r="G331" s="5" t="s">
        <v>345</v>
      </c>
      <c r="H331" s="5" t="n">
        <v>15</v>
      </c>
      <c r="I331" s="5" t="s">
        <v>1709</v>
      </c>
      <c r="J331" s="5" t="s">
        <v>3087</v>
      </c>
      <c r="K331" s="5" t="s">
        <v>3088</v>
      </c>
    </row>
    <row r="332" customFormat="false" ht="15" hidden="false" customHeight="false" outlineLevel="0" collapsed="false">
      <c r="A332" s="5" t="s">
        <v>69</v>
      </c>
      <c r="B332" s="5" t="s">
        <v>3089</v>
      </c>
      <c r="C332" s="5" t="s">
        <v>3090</v>
      </c>
      <c r="D332" s="5" t="s">
        <v>3091</v>
      </c>
      <c r="E332" s="5" t="s">
        <v>2253</v>
      </c>
      <c r="F332" s="5" t="s">
        <v>265</v>
      </c>
      <c r="G332" s="5" t="s">
        <v>345</v>
      </c>
      <c r="H332" s="5" t="n">
        <v>2</v>
      </c>
      <c r="I332" s="5" t="s">
        <v>1709</v>
      </c>
      <c r="J332" s="5" t="s">
        <v>3092</v>
      </c>
      <c r="K332" s="5" t="s">
        <v>3093</v>
      </c>
    </row>
    <row r="333" customFormat="false" ht="15" hidden="false" customHeight="false" outlineLevel="0" collapsed="false">
      <c r="A333" s="5" t="s">
        <v>43</v>
      </c>
      <c r="B333" s="5" t="s">
        <v>3094</v>
      </c>
      <c r="C333" s="5" t="s">
        <v>3095</v>
      </c>
      <c r="D333" s="5" t="s">
        <v>3096</v>
      </c>
      <c r="E333" s="5" t="s">
        <v>2253</v>
      </c>
      <c r="F333" s="5" t="s">
        <v>265</v>
      </c>
      <c r="G333" s="5" t="s">
        <v>345</v>
      </c>
      <c r="H333" s="5" t="n">
        <v>2</v>
      </c>
      <c r="I333" s="5" t="s">
        <v>2292</v>
      </c>
      <c r="J333" s="5" t="s">
        <v>3097</v>
      </c>
      <c r="K333" s="5" t="s">
        <v>3098</v>
      </c>
    </row>
    <row r="334" customFormat="false" ht="15" hidden="false" customHeight="false" outlineLevel="0" collapsed="false">
      <c r="A334" s="5" t="s">
        <v>46</v>
      </c>
      <c r="B334" s="5" t="s">
        <v>3099</v>
      </c>
      <c r="C334" s="5" t="s">
        <v>3100</v>
      </c>
      <c r="D334" s="5" t="s">
        <v>3101</v>
      </c>
      <c r="E334" s="5" t="s">
        <v>2253</v>
      </c>
      <c r="F334" s="5" t="s">
        <v>265</v>
      </c>
      <c r="G334" s="5" t="s">
        <v>345</v>
      </c>
      <c r="H334" s="5" t="n">
        <v>2</v>
      </c>
      <c r="I334" s="5" t="s">
        <v>1652</v>
      </c>
      <c r="J334" s="5" t="s">
        <v>3102</v>
      </c>
      <c r="K334" s="5" t="s">
        <v>3103</v>
      </c>
    </row>
    <row r="335" customFormat="false" ht="15" hidden="false" customHeight="false" outlineLevel="0" collapsed="false">
      <c r="A335" s="5" t="s">
        <v>54</v>
      </c>
      <c r="B335" s="5" t="s">
        <v>3104</v>
      </c>
      <c r="C335" s="5" t="s">
        <v>3105</v>
      </c>
      <c r="D335" s="5" t="s">
        <v>3106</v>
      </c>
      <c r="E335" s="5" t="s">
        <v>2253</v>
      </c>
      <c r="F335" s="5" t="s">
        <v>104</v>
      </c>
      <c r="G335" s="5" t="s">
        <v>445</v>
      </c>
      <c r="H335" s="5" t="n">
        <v>2</v>
      </c>
      <c r="I335" s="5" t="s">
        <v>1709</v>
      </c>
      <c r="J335" s="5" t="s">
        <v>3107</v>
      </c>
      <c r="K335" s="5" t="s">
        <v>3108</v>
      </c>
    </row>
    <row r="336" customFormat="false" ht="15" hidden="false" customHeight="false" outlineLevel="0" collapsed="false">
      <c r="A336" s="5" t="s">
        <v>86</v>
      </c>
      <c r="B336" s="5" t="s">
        <v>3109</v>
      </c>
      <c r="C336" s="5" t="s">
        <v>3110</v>
      </c>
      <c r="D336" s="5" t="s">
        <v>3111</v>
      </c>
      <c r="E336" s="5" t="s">
        <v>2253</v>
      </c>
      <c r="F336" s="5" t="s">
        <v>265</v>
      </c>
      <c r="G336" s="5" t="s">
        <v>345</v>
      </c>
      <c r="H336" s="5" t="n">
        <v>3</v>
      </c>
      <c r="I336" s="5" t="s">
        <v>1664</v>
      </c>
      <c r="J336" s="5" t="s">
        <v>3112</v>
      </c>
      <c r="K336" s="5" t="s">
        <v>3113</v>
      </c>
    </row>
    <row r="337" customFormat="false" ht="15" hidden="false" customHeight="false" outlineLevel="0" collapsed="false">
      <c r="A337" s="5" t="s">
        <v>83</v>
      </c>
      <c r="B337" s="5" t="s">
        <v>3114</v>
      </c>
      <c r="C337" s="5" t="s">
        <v>3115</v>
      </c>
      <c r="D337" s="5" t="s">
        <v>3116</v>
      </c>
      <c r="E337" s="5" t="s">
        <v>2253</v>
      </c>
      <c r="F337" s="5" t="s">
        <v>265</v>
      </c>
      <c r="G337" s="5" t="s">
        <v>345</v>
      </c>
      <c r="H337" s="5" t="n">
        <v>5</v>
      </c>
      <c r="I337" s="5" t="s">
        <v>2709</v>
      </c>
      <c r="J337" s="5" t="s">
        <v>3117</v>
      </c>
      <c r="K337" s="5" t="s">
        <v>3118</v>
      </c>
    </row>
    <row r="338" customFormat="false" ht="15" hidden="false" customHeight="false" outlineLevel="0" collapsed="false">
      <c r="A338" s="5" t="s">
        <v>86</v>
      </c>
      <c r="B338" s="5" t="s">
        <v>3119</v>
      </c>
      <c r="C338" s="5" t="s">
        <v>3120</v>
      </c>
      <c r="D338" s="5" t="s">
        <v>3121</v>
      </c>
      <c r="E338" s="5" t="s">
        <v>2253</v>
      </c>
      <c r="F338" s="5" t="s">
        <v>104</v>
      </c>
      <c r="G338" s="5"/>
      <c r="H338" s="5" t="n">
        <v>3</v>
      </c>
      <c r="I338" s="5" t="s">
        <v>2248</v>
      </c>
      <c r="J338" s="5" t="s">
        <v>3122</v>
      </c>
      <c r="K338" s="5" t="s">
        <v>3123</v>
      </c>
    </row>
    <row r="339" customFormat="false" ht="15" hidden="false" customHeight="false" outlineLevel="0" collapsed="false">
      <c r="A339" s="5" t="s">
        <v>63</v>
      </c>
      <c r="B339" s="5" t="s">
        <v>3124</v>
      </c>
      <c r="C339" s="5" t="s">
        <v>3125</v>
      </c>
      <c r="D339" s="5" t="s">
        <v>3126</v>
      </c>
      <c r="E339" s="5" t="s">
        <v>2253</v>
      </c>
      <c r="F339" s="5" t="s">
        <v>265</v>
      </c>
      <c r="G339" s="5" t="s">
        <v>345</v>
      </c>
      <c r="H339" s="5"/>
      <c r="I339" s="5" t="s">
        <v>1709</v>
      </c>
      <c r="J339" s="5" t="s">
        <v>3127</v>
      </c>
      <c r="K339" s="5" t="s">
        <v>3128</v>
      </c>
    </row>
    <row r="340" customFormat="false" ht="15" hidden="false" customHeight="false" outlineLevel="0" collapsed="false">
      <c r="A340" s="5" t="s">
        <v>60</v>
      </c>
      <c r="B340" s="5" t="s">
        <v>3129</v>
      </c>
      <c r="C340" s="5" t="s">
        <v>3130</v>
      </c>
      <c r="D340" s="5" t="s">
        <v>3131</v>
      </c>
      <c r="E340" s="5" t="s">
        <v>2253</v>
      </c>
      <c r="F340" s="5" t="s">
        <v>265</v>
      </c>
      <c r="G340" s="5" t="s">
        <v>436</v>
      </c>
      <c r="H340" s="5" t="n">
        <v>5</v>
      </c>
      <c r="I340" s="5" t="s">
        <v>1656</v>
      </c>
      <c r="J340" s="5" t="s">
        <v>3132</v>
      </c>
      <c r="K340" s="5" t="s">
        <v>3133</v>
      </c>
    </row>
    <row r="341" customFormat="false" ht="15" hidden="false" customHeight="false" outlineLevel="0" collapsed="false">
      <c r="A341" s="5" t="s">
        <v>101</v>
      </c>
      <c r="B341" s="5" t="s">
        <v>3134</v>
      </c>
      <c r="C341" s="5" t="s">
        <v>3135</v>
      </c>
      <c r="D341" s="5" t="s">
        <v>3136</v>
      </c>
      <c r="E341" s="5" t="s">
        <v>2253</v>
      </c>
      <c r="F341" s="5" t="s">
        <v>265</v>
      </c>
      <c r="G341" s="5" t="s">
        <v>345</v>
      </c>
      <c r="H341" s="5" t="n">
        <v>2</v>
      </c>
      <c r="I341" s="5" t="s">
        <v>1709</v>
      </c>
      <c r="J341" s="5" t="s">
        <v>3137</v>
      </c>
      <c r="K341" s="5" t="s">
        <v>3138</v>
      </c>
    </row>
    <row r="342" customFormat="false" ht="15" hidden="false" customHeight="false" outlineLevel="0" collapsed="false">
      <c r="A342" s="5" t="s">
        <v>63</v>
      </c>
      <c r="B342" s="5" t="s">
        <v>3139</v>
      </c>
      <c r="C342" s="5" t="s">
        <v>3140</v>
      </c>
      <c r="D342" s="5" t="s">
        <v>3141</v>
      </c>
      <c r="E342" s="5" t="s">
        <v>2253</v>
      </c>
      <c r="F342" s="5" t="s">
        <v>265</v>
      </c>
      <c r="G342" s="5" t="s">
        <v>345</v>
      </c>
      <c r="H342" s="5" t="n">
        <v>2</v>
      </c>
      <c r="I342" s="5" t="s">
        <v>1664</v>
      </c>
      <c r="J342" s="5" t="s">
        <v>3142</v>
      </c>
      <c r="K342" s="5" t="s">
        <v>3143</v>
      </c>
    </row>
    <row r="343" customFormat="false" ht="15" hidden="false" customHeight="false" outlineLevel="0" collapsed="false">
      <c r="A343" s="5" t="s">
        <v>69</v>
      </c>
      <c r="B343" s="5" t="s">
        <v>3144</v>
      </c>
      <c r="C343" s="5" t="s">
        <v>3145</v>
      </c>
      <c r="D343" s="5" t="s">
        <v>3146</v>
      </c>
      <c r="E343" s="5" t="s">
        <v>2253</v>
      </c>
      <c r="F343" s="5" t="s">
        <v>265</v>
      </c>
      <c r="G343" s="5" t="s">
        <v>2247</v>
      </c>
      <c r="H343" s="5" t="n">
        <v>2</v>
      </c>
      <c r="I343" s="5" t="s">
        <v>3061</v>
      </c>
      <c r="J343" s="5" t="s">
        <v>3147</v>
      </c>
      <c r="K343" s="5" t="s">
        <v>3148</v>
      </c>
    </row>
    <row r="344" customFormat="false" ht="15" hidden="false" customHeight="false" outlineLevel="0" collapsed="false">
      <c r="A344" s="5" t="s">
        <v>43</v>
      </c>
      <c r="B344" s="5" t="s">
        <v>3149</v>
      </c>
      <c r="C344" s="5" t="s">
        <v>3150</v>
      </c>
      <c r="D344" s="5"/>
      <c r="E344" s="5" t="s">
        <v>2253</v>
      </c>
      <c r="F344" s="5" t="s">
        <v>104</v>
      </c>
      <c r="G344" s="5" t="s">
        <v>445</v>
      </c>
      <c r="H344" s="5"/>
      <c r="I344" s="5" t="s">
        <v>1709</v>
      </c>
      <c r="J344" s="5" t="s">
        <v>3151</v>
      </c>
      <c r="K344" s="5" t="s">
        <v>3152</v>
      </c>
    </row>
    <row r="345" customFormat="false" ht="15" hidden="false" customHeight="false" outlineLevel="0" collapsed="false">
      <c r="A345" s="5" t="s">
        <v>83</v>
      </c>
      <c r="B345" s="5" t="s">
        <v>1258</v>
      </c>
      <c r="C345" s="5" t="s">
        <v>3153</v>
      </c>
      <c r="D345" s="5" t="s">
        <v>3154</v>
      </c>
      <c r="E345" s="5" t="s">
        <v>3155</v>
      </c>
      <c r="F345" s="5" t="s">
        <v>265</v>
      </c>
      <c r="G345" s="5" t="s">
        <v>1259</v>
      </c>
      <c r="H345" s="5" t="n">
        <v>19</v>
      </c>
      <c r="I345" s="5" t="s">
        <v>1876</v>
      </c>
      <c r="J345" s="5" t="s">
        <v>1260</v>
      </c>
      <c r="K345" s="5" t="s">
        <v>1261</v>
      </c>
    </row>
    <row r="346" customFormat="false" ht="15" hidden="false" customHeight="false" outlineLevel="0" collapsed="false">
      <c r="A346" s="5" t="s">
        <v>92</v>
      </c>
      <c r="B346" s="5" t="s">
        <v>3156</v>
      </c>
      <c r="C346" s="5" t="s">
        <v>3157</v>
      </c>
      <c r="D346" s="5" t="s">
        <v>3158</v>
      </c>
      <c r="E346" s="5" t="s">
        <v>3155</v>
      </c>
      <c r="F346" s="5" t="s">
        <v>265</v>
      </c>
      <c r="G346" s="5" t="s">
        <v>760</v>
      </c>
      <c r="H346" s="5" t="n">
        <v>2</v>
      </c>
      <c r="I346" s="5" t="s">
        <v>1811</v>
      </c>
      <c r="J346" s="5" t="s">
        <v>3159</v>
      </c>
      <c r="K346" s="5" t="s">
        <v>3160</v>
      </c>
    </row>
    <row r="347" customFormat="false" ht="15" hidden="false" customHeight="false" outlineLevel="0" collapsed="false">
      <c r="A347" s="5" t="s">
        <v>47</v>
      </c>
      <c r="B347" s="5" t="s">
        <v>570</v>
      </c>
      <c r="C347" s="5" t="s">
        <v>3161</v>
      </c>
      <c r="D347" s="5" t="s">
        <v>3162</v>
      </c>
      <c r="E347" s="5" t="s">
        <v>3155</v>
      </c>
      <c r="F347" s="5" t="s">
        <v>265</v>
      </c>
      <c r="G347" s="5" t="s">
        <v>345</v>
      </c>
      <c r="H347" s="5" t="n">
        <v>4</v>
      </c>
      <c r="I347" s="5" t="s">
        <v>3163</v>
      </c>
      <c r="J347" s="5" t="s">
        <v>571</v>
      </c>
      <c r="K347" s="5" t="s">
        <v>572</v>
      </c>
    </row>
    <row r="348" customFormat="false" ht="15" hidden="false" customHeight="false" outlineLevel="0" collapsed="false">
      <c r="A348" s="5" t="s">
        <v>86</v>
      </c>
      <c r="B348" s="5" t="s">
        <v>3164</v>
      </c>
      <c r="C348" s="5" t="s">
        <v>3165</v>
      </c>
      <c r="D348" s="5" t="s">
        <v>3166</v>
      </c>
      <c r="E348" s="5" t="s">
        <v>3155</v>
      </c>
      <c r="F348" s="5" t="s">
        <v>265</v>
      </c>
      <c r="G348" s="5" t="s">
        <v>775</v>
      </c>
      <c r="H348" s="5" t="n">
        <v>3</v>
      </c>
      <c r="I348" s="5" t="s">
        <v>1647</v>
      </c>
      <c r="J348" s="5" t="s">
        <v>3167</v>
      </c>
      <c r="K348" s="5" t="s">
        <v>3168</v>
      </c>
    </row>
    <row r="349" customFormat="false" ht="15" hidden="false" customHeight="false" outlineLevel="0" collapsed="false">
      <c r="A349" s="5" t="s">
        <v>63</v>
      </c>
      <c r="B349" s="5" t="s">
        <v>880</v>
      </c>
      <c r="C349" s="5" t="s">
        <v>3169</v>
      </c>
      <c r="D349" s="5" t="s">
        <v>3170</v>
      </c>
      <c r="E349" s="5" t="s">
        <v>3155</v>
      </c>
      <c r="F349" s="5" t="s">
        <v>265</v>
      </c>
      <c r="G349" s="5" t="s">
        <v>345</v>
      </c>
      <c r="H349" s="5"/>
      <c r="I349" s="5" t="s">
        <v>1656</v>
      </c>
      <c r="J349" s="5" t="s">
        <v>881</v>
      </c>
      <c r="K349" s="5" t="s">
        <v>882</v>
      </c>
    </row>
    <row r="350" customFormat="false" ht="15" hidden="false" customHeight="false" outlineLevel="0" collapsed="false">
      <c r="A350" s="5" t="s">
        <v>83</v>
      </c>
      <c r="B350" s="5" t="s">
        <v>3171</v>
      </c>
      <c r="C350" s="5" t="s">
        <v>3172</v>
      </c>
      <c r="D350" s="5" t="s">
        <v>3173</v>
      </c>
      <c r="E350" s="5" t="s">
        <v>3155</v>
      </c>
      <c r="F350" s="5" t="s">
        <v>104</v>
      </c>
      <c r="G350" s="5" t="s">
        <v>735</v>
      </c>
      <c r="H350" s="5" t="n">
        <v>2</v>
      </c>
      <c r="I350" s="5" t="s">
        <v>1876</v>
      </c>
      <c r="J350" s="5" t="s">
        <v>3174</v>
      </c>
      <c r="K350" s="5" t="s">
        <v>3175</v>
      </c>
    </row>
    <row r="351" customFormat="false" ht="15" hidden="false" customHeight="false" outlineLevel="0" collapsed="false">
      <c r="A351" s="5" t="s">
        <v>51</v>
      </c>
      <c r="B351" s="5" t="s">
        <v>3176</v>
      </c>
      <c r="C351" s="5" t="s">
        <v>3177</v>
      </c>
      <c r="D351" s="5" t="s">
        <v>3178</v>
      </c>
      <c r="E351" s="5" t="s">
        <v>3155</v>
      </c>
      <c r="F351" s="5" t="s">
        <v>265</v>
      </c>
      <c r="G351" s="5" t="s">
        <v>345</v>
      </c>
      <c r="H351" s="5" t="n">
        <v>5</v>
      </c>
      <c r="I351" s="5" t="s">
        <v>1709</v>
      </c>
      <c r="J351" s="5" t="s">
        <v>3179</v>
      </c>
      <c r="K351" s="5" t="s">
        <v>3180</v>
      </c>
    </row>
    <row r="352" customFormat="false" ht="15" hidden="false" customHeight="false" outlineLevel="0" collapsed="false">
      <c r="A352" s="5" t="s">
        <v>40</v>
      </c>
      <c r="B352" s="5" t="s">
        <v>343</v>
      </c>
      <c r="C352" s="5" t="s">
        <v>3181</v>
      </c>
      <c r="D352" s="5"/>
      <c r="E352" s="5" t="s">
        <v>3155</v>
      </c>
      <c r="F352" s="5" t="s">
        <v>265</v>
      </c>
      <c r="G352" s="5" t="s">
        <v>345</v>
      </c>
      <c r="H352" s="5" t="n">
        <v>2</v>
      </c>
      <c r="I352" s="5" t="s">
        <v>1966</v>
      </c>
      <c r="J352" s="5" t="s">
        <v>347</v>
      </c>
      <c r="K352" s="5" t="s">
        <v>348</v>
      </c>
    </row>
    <row r="353" customFormat="false" ht="15" hidden="false" customHeight="false" outlineLevel="0" collapsed="false">
      <c r="A353" s="5" t="s">
        <v>63</v>
      </c>
      <c r="B353" s="5" t="s">
        <v>3182</v>
      </c>
      <c r="C353" s="5" t="s">
        <v>3183</v>
      </c>
      <c r="D353" s="5" t="s">
        <v>3184</v>
      </c>
      <c r="E353" s="5" t="s">
        <v>3155</v>
      </c>
      <c r="F353" s="5" t="s">
        <v>265</v>
      </c>
      <c r="G353" s="5" t="s">
        <v>345</v>
      </c>
      <c r="H353" s="5" t="n">
        <v>1</v>
      </c>
      <c r="I353" s="5" t="s">
        <v>3061</v>
      </c>
      <c r="J353" s="5" t="s">
        <v>3185</v>
      </c>
      <c r="K353" s="5" t="s">
        <v>3186</v>
      </c>
    </row>
    <row r="354" customFormat="false" ht="15" hidden="false" customHeight="false" outlineLevel="0" collapsed="false">
      <c r="A354" s="5" t="s">
        <v>54</v>
      </c>
      <c r="B354" s="5" t="s">
        <v>3187</v>
      </c>
      <c r="C354" s="5" t="s">
        <v>3188</v>
      </c>
      <c r="D354" s="5" t="s">
        <v>3189</v>
      </c>
      <c r="E354" s="5" t="s">
        <v>3155</v>
      </c>
      <c r="F354" s="5" t="s">
        <v>265</v>
      </c>
      <c r="G354" s="5" t="s">
        <v>345</v>
      </c>
      <c r="H354" s="5" t="n">
        <v>3</v>
      </c>
      <c r="I354" s="5" t="s">
        <v>1709</v>
      </c>
      <c r="J354" s="5" t="s">
        <v>3190</v>
      </c>
      <c r="K354" s="5" t="s">
        <v>3191</v>
      </c>
    </row>
    <row r="355" customFormat="false" ht="15" hidden="false" customHeight="false" outlineLevel="0" collapsed="false">
      <c r="A355" s="5" t="s">
        <v>60</v>
      </c>
      <c r="B355" s="5" t="s">
        <v>3192</v>
      </c>
      <c r="C355" s="5" t="s">
        <v>3193</v>
      </c>
      <c r="D355" s="5" t="s">
        <v>3194</v>
      </c>
      <c r="E355" s="5" t="s">
        <v>3155</v>
      </c>
      <c r="F355" s="5" t="s">
        <v>265</v>
      </c>
      <c r="G355" s="5" t="s">
        <v>345</v>
      </c>
      <c r="H355" s="5" t="n">
        <v>3</v>
      </c>
      <c r="I355" s="5" t="s">
        <v>1760</v>
      </c>
      <c r="J355" s="5" t="s">
        <v>3195</v>
      </c>
      <c r="K355" s="5" t="s">
        <v>3196</v>
      </c>
    </row>
    <row r="356" customFormat="false" ht="15" hidden="false" customHeight="false" outlineLevel="0" collapsed="false">
      <c r="A356" s="5" t="s">
        <v>104</v>
      </c>
      <c r="B356" s="5" t="s">
        <v>3197</v>
      </c>
      <c r="C356" s="5"/>
      <c r="D356" s="5"/>
      <c r="E356" s="5" t="s">
        <v>3155</v>
      </c>
      <c r="F356" s="5" t="s">
        <v>265</v>
      </c>
      <c r="G356" s="5" t="s">
        <v>345</v>
      </c>
      <c r="H356" s="5" t="n">
        <v>2</v>
      </c>
      <c r="I356" s="5" t="s">
        <v>1694</v>
      </c>
      <c r="J356" s="5" t="s">
        <v>3198</v>
      </c>
      <c r="K356" s="5" t="s">
        <v>3199</v>
      </c>
    </row>
    <row r="357" customFormat="false" ht="15" hidden="false" customHeight="false" outlineLevel="0" collapsed="false">
      <c r="A357" s="5" t="s">
        <v>95</v>
      </c>
      <c r="B357" s="5" t="s">
        <v>3200</v>
      </c>
      <c r="C357" s="5" t="s">
        <v>3201</v>
      </c>
      <c r="D357" s="5" t="s">
        <v>3202</v>
      </c>
      <c r="E357" s="5" t="s">
        <v>3155</v>
      </c>
      <c r="F357" s="5" t="s">
        <v>265</v>
      </c>
      <c r="G357" s="5" t="s">
        <v>345</v>
      </c>
      <c r="H357" s="5" t="n">
        <v>5</v>
      </c>
      <c r="I357" s="5" t="s">
        <v>2208</v>
      </c>
      <c r="J357" s="5" t="s">
        <v>3203</v>
      </c>
      <c r="K357" s="5" t="s">
        <v>3204</v>
      </c>
    </row>
    <row r="358" customFormat="false" ht="15" hidden="false" customHeight="false" outlineLevel="0" collapsed="false">
      <c r="A358" s="5" t="s">
        <v>92</v>
      </c>
      <c r="B358" s="5" t="s">
        <v>3205</v>
      </c>
      <c r="C358" s="5" t="s">
        <v>3206</v>
      </c>
      <c r="D358" s="5" t="s">
        <v>3207</v>
      </c>
      <c r="E358" s="5" t="s">
        <v>3155</v>
      </c>
      <c r="F358" s="5" t="s">
        <v>265</v>
      </c>
      <c r="G358" s="5" t="s">
        <v>345</v>
      </c>
      <c r="H358" s="5" t="n">
        <v>2</v>
      </c>
      <c r="I358" s="5" t="s">
        <v>1709</v>
      </c>
      <c r="J358" s="5" t="s">
        <v>3208</v>
      </c>
      <c r="K358" s="5" t="s">
        <v>3209</v>
      </c>
    </row>
    <row r="359" customFormat="false" ht="15" hidden="false" customHeight="false" outlineLevel="0" collapsed="false">
      <c r="A359" s="5" t="s">
        <v>86</v>
      </c>
      <c r="B359" s="5" t="s">
        <v>3210</v>
      </c>
      <c r="C359" s="5" t="s">
        <v>3211</v>
      </c>
      <c r="D359" s="5"/>
      <c r="E359" s="5" t="s">
        <v>3155</v>
      </c>
      <c r="F359" s="5" t="s">
        <v>265</v>
      </c>
      <c r="G359" s="5" t="s">
        <v>760</v>
      </c>
      <c r="H359" s="5"/>
      <c r="I359" s="5" t="s">
        <v>2248</v>
      </c>
      <c r="J359" s="5" t="s">
        <v>3212</v>
      </c>
      <c r="K359" s="5" t="s">
        <v>3213</v>
      </c>
    </row>
    <row r="360" customFormat="false" ht="15" hidden="false" customHeight="false" outlineLevel="0" collapsed="false">
      <c r="A360" s="5" t="s">
        <v>43</v>
      </c>
      <c r="B360" s="5" t="s">
        <v>3214</v>
      </c>
      <c r="C360" s="5" t="s">
        <v>3215</v>
      </c>
      <c r="D360" s="5" t="s">
        <v>3216</v>
      </c>
      <c r="E360" s="5" t="s">
        <v>3155</v>
      </c>
      <c r="F360" s="5" t="s">
        <v>265</v>
      </c>
      <c r="G360" s="5" t="s">
        <v>345</v>
      </c>
      <c r="H360" s="5" t="n">
        <v>3</v>
      </c>
      <c r="I360" s="5" t="s">
        <v>2550</v>
      </c>
      <c r="J360" s="5" t="s">
        <v>3217</v>
      </c>
      <c r="K360" s="5" t="s">
        <v>3218</v>
      </c>
    </row>
    <row r="361" customFormat="false" ht="15" hidden="false" customHeight="false" outlineLevel="0" collapsed="false">
      <c r="A361" s="5" t="s">
        <v>47</v>
      </c>
      <c r="B361" s="5" t="s">
        <v>3219</v>
      </c>
      <c r="C361" s="5" t="s">
        <v>3220</v>
      </c>
      <c r="D361" s="5" t="s">
        <v>3221</v>
      </c>
      <c r="E361" s="5" t="s">
        <v>3155</v>
      </c>
      <c r="F361" s="5" t="s">
        <v>265</v>
      </c>
      <c r="G361" s="5" t="s">
        <v>436</v>
      </c>
      <c r="H361" s="5" t="n">
        <v>4</v>
      </c>
      <c r="I361" s="5" t="s">
        <v>2429</v>
      </c>
      <c r="J361" s="5" t="s">
        <v>3222</v>
      </c>
      <c r="K361" s="5" t="s">
        <v>3223</v>
      </c>
    </row>
    <row r="362" customFormat="false" ht="15" hidden="false" customHeight="false" outlineLevel="0" collapsed="false">
      <c r="A362" s="5" t="s">
        <v>40</v>
      </c>
      <c r="B362" s="5" t="s">
        <v>3224</v>
      </c>
      <c r="C362" s="5" t="s">
        <v>3225</v>
      </c>
      <c r="D362" s="5" t="s">
        <v>3226</v>
      </c>
      <c r="E362" s="5" t="s">
        <v>3155</v>
      </c>
      <c r="F362" s="5" t="s">
        <v>265</v>
      </c>
      <c r="G362" s="5" t="s">
        <v>345</v>
      </c>
      <c r="H362" s="5" t="n">
        <v>2</v>
      </c>
      <c r="I362" s="5" t="s">
        <v>1640</v>
      </c>
      <c r="J362" s="5" t="s">
        <v>3227</v>
      </c>
      <c r="K362" s="5" t="s">
        <v>3228</v>
      </c>
    </row>
    <row r="363" customFormat="false" ht="15" hidden="false" customHeight="false" outlineLevel="0" collapsed="false">
      <c r="A363" s="5" t="s">
        <v>63</v>
      </c>
      <c r="B363" s="5" t="s">
        <v>3229</v>
      </c>
      <c r="C363" s="5" t="s">
        <v>3230</v>
      </c>
      <c r="D363" s="5" t="s">
        <v>3231</v>
      </c>
      <c r="E363" s="5" t="s">
        <v>3155</v>
      </c>
      <c r="F363" s="5" t="s">
        <v>265</v>
      </c>
      <c r="G363" s="5" t="s">
        <v>345</v>
      </c>
      <c r="H363" s="5" t="n">
        <v>3</v>
      </c>
      <c r="I363" s="5" t="s">
        <v>1656</v>
      </c>
      <c r="J363" s="5" t="s">
        <v>3232</v>
      </c>
      <c r="K363" s="5" t="s">
        <v>3233</v>
      </c>
    </row>
    <row r="364" customFormat="false" ht="15" hidden="false" customHeight="false" outlineLevel="0" collapsed="false">
      <c r="A364" s="5" t="s">
        <v>66</v>
      </c>
      <c r="B364" s="5" t="s">
        <v>940</v>
      </c>
      <c r="C364" s="5" t="s">
        <v>3234</v>
      </c>
      <c r="D364" s="5" t="s">
        <v>3235</v>
      </c>
      <c r="E364" s="5" t="s">
        <v>3155</v>
      </c>
      <c r="F364" s="5" t="s">
        <v>265</v>
      </c>
      <c r="G364" s="5" t="s">
        <v>345</v>
      </c>
      <c r="H364" s="5" t="n">
        <v>5</v>
      </c>
      <c r="I364" s="5" t="s">
        <v>1709</v>
      </c>
      <c r="J364" s="5" t="s">
        <v>941</v>
      </c>
      <c r="K364" s="5" t="s">
        <v>942</v>
      </c>
    </row>
    <row r="365" customFormat="false" ht="15" hidden="false" customHeight="false" outlineLevel="0" collapsed="false">
      <c r="A365" s="5" t="s">
        <v>83</v>
      </c>
      <c r="B365" s="5" t="s">
        <v>3236</v>
      </c>
      <c r="C365" s="5" t="s">
        <v>3237</v>
      </c>
      <c r="D365" s="5" t="s">
        <v>3238</v>
      </c>
      <c r="E365" s="5" t="s">
        <v>3155</v>
      </c>
      <c r="F365" s="5" t="s">
        <v>265</v>
      </c>
      <c r="G365" s="5" t="s">
        <v>436</v>
      </c>
      <c r="H365" s="5" t="n">
        <v>3</v>
      </c>
      <c r="I365" s="5" t="s">
        <v>1876</v>
      </c>
      <c r="J365" s="5" t="s">
        <v>3239</v>
      </c>
      <c r="K365" s="5" t="s">
        <v>3240</v>
      </c>
    </row>
    <row r="366" customFormat="false" ht="15" hidden="false" customHeight="false" outlineLevel="0" collapsed="false">
      <c r="A366" s="5" t="s">
        <v>54</v>
      </c>
      <c r="B366" s="5" t="s">
        <v>734</v>
      </c>
      <c r="C366" s="5" t="s">
        <v>3241</v>
      </c>
      <c r="D366" s="5" t="s">
        <v>3242</v>
      </c>
      <c r="E366" s="5" t="s">
        <v>3155</v>
      </c>
      <c r="F366" s="5" t="s">
        <v>104</v>
      </c>
      <c r="G366" s="5" t="s">
        <v>735</v>
      </c>
      <c r="H366" s="5" t="n">
        <v>3</v>
      </c>
      <c r="I366" s="5" t="s">
        <v>1664</v>
      </c>
      <c r="J366" s="5" t="s">
        <v>736</v>
      </c>
      <c r="K366" s="5" t="s">
        <v>737</v>
      </c>
    </row>
    <row r="367" customFormat="false" ht="15" hidden="false" customHeight="false" outlineLevel="0" collapsed="false">
      <c r="A367" s="5" t="s">
        <v>86</v>
      </c>
      <c r="B367" s="5" t="s">
        <v>1305</v>
      </c>
      <c r="C367" s="5" t="s">
        <v>3243</v>
      </c>
      <c r="D367" s="5" t="s">
        <v>3244</v>
      </c>
      <c r="E367" s="5" t="s">
        <v>3155</v>
      </c>
      <c r="F367" s="5" t="s">
        <v>265</v>
      </c>
      <c r="G367" s="5" t="s">
        <v>436</v>
      </c>
      <c r="H367" s="5" t="n">
        <v>9</v>
      </c>
      <c r="I367" s="5" t="s">
        <v>1971</v>
      </c>
      <c r="J367" s="5" t="s">
        <v>1306</v>
      </c>
      <c r="K367" s="5" t="s">
        <v>1307</v>
      </c>
    </row>
    <row r="368" customFormat="false" ht="15" hidden="false" customHeight="false" outlineLevel="0" collapsed="false">
      <c r="A368" s="5" t="s">
        <v>57</v>
      </c>
      <c r="B368" s="5" t="s">
        <v>801</v>
      </c>
      <c r="C368" s="5" t="s">
        <v>3245</v>
      </c>
      <c r="D368" s="5" t="s">
        <v>3246</v>
      </c>
      <c r="E368" s="5" t="s">
        <v>3155</v>
      </c>
      <c r="F368" s="5" t="s">
        <v>265</v>
      </c>
      <c r="G368" s="5" t="s">
        <v>345</v>
      </c>
      <c r="H368" s="5" t="n">
        <v>3</v>
      </c>
      <c r="I368" s="5" t="s">
        <v>1709</v>
      </c>
      <c r="J368" s="5" t="s">
        <v>802</v>
      </c>
      <c r="K368" s="5" t="s">
        <v>803</v>
      </c>
    </row>
    <row r="369" customFormat="false" ht="15" hidden="false" customHeight="false" outlineLevel="0" collapsed="false">
      <c r="A369" s="5" t="s">
        <v>80</v>
      </c>
      <c r="B369" s="5" t="s">
        <v>3247</v>
      </c>
      <c r="C369" s="5" t="s">
        <v>3248</v>
      </c>
      <c r="D369" s="5" t="s">
        <v>3249</v>
      </c>
      <c r="E369" s="5" t="s">
        <v>3155</v>
      </c>
      <c r="F369" s="5" t="s">
        <v>265</v>
      </c>
      <c r="G369" s="5" t="s">
        <v>345</v>
      </c>
      <c r="H369" s="5" t="n">
        <v>5</v>
      </c>
      <c r="I369" s="5" t="s">
        <v>1647</v>
      </c>
      <c r="J369" s="5" t="s">
        <v>3250</v>
      </c>
      <c r="K369" s="5" t="s">
        <v>3251</v>
      </c>
    </row>
    <row r="370" customFormat="false" ht="15" hidden="false" customHeight="false" outlineLevel="0" collapsed="false">
      <c r="A370" s="5" t="s">
        <v>75</v>
      </c>
      <c r="B370" s="5" t="s">
        <v>3252</v>
      </c>
      <c r="C370" s="5" t="s">
        <v>3253</v>
      </c>
      <c r="D370" s="5" t="s">
        <v>3254</v>
      </c>
      <c r="E370" s="5" t="s">
        <v>3155</v>
      </c>
      <c r="F370" s="5" t="s">
        <v>265</v>
      </c>
      <c r="G370" s="5" t="s">
        <v>345</v>
      </c>
      <c r="H370" s="5" t="n">
        <v>2</v>
      </c>
      <c r="I370" s="5" t="s">
        <v>1747</v>
      </c>
      <c r="J370" s="5" t="s">
        <v>3255</v>
      </c>
      <c r="K370" s="5" t="s">
        <v>3256</v>
      </c>
    </row>
    <row r="371" customFormat="false" ht="15" hidden="false" customHeight="false" outlineLevel="0" collapsed="false">
      <c r="A371" s="5" t="s">
        <v>92</v>
      </c>
      <c r="B371" s="5" t="s">
        <v>3257</v>
      </c>
      <c r="C371" s="5" t="s">
        <v>3258</v>
      </c>
      <c r="D371" s="5" t="s">
        <v>3259</v>
      </c>
      <c r="E371" s="5" t="s">
        <v>3155</v>
      </c>
      <c r="F371" s="5" t="s">
        <v>265</v>
      </c>
      <c r="G371" s="5" t="s">
        <v>345</v>
      </c>
      <c r="H371" s="5" t="n">
        <v>6</v>
      </c>
      <c r="I371" s="5" t="s">
        <v>1709</v>
      </c>
      <c r="J371" s="5" t="s">
        <v>3260</v>
      </c>
      <c r="K371" s="5" t="s">
        <v>3261</v>
      </c>
    </row>
    <row r="372" customFormat="false" ht="15" hidden="false" customHeight="false" outlineLevel="0" collapsed="false">
      <c r="A372" s="5" t="s">
        <v>86</v>
      </c>
      <c r="B372" s="5" t="s">
        <v>1313</v>
      </c>
      <c r="C372" s="5" t="s">
        <v>3262</v>
      </c>
      <c r="D372" s="5" t="s">
        <v>3263</v>
      </c>
      <c r="E372" s="5" t="s">
        <v>3155</v>
      </c>
      <c r="F372" s="5" t="s">
        <v>265</v>
      </c>
      <c r="G372" s="5" t="s">
        <v>345</v>
      </c>
      <c r="H372" s="5" t="n">
        <v>3</v>
      </c>
      <c r="I372" s="5" t="s">
        <v>1664</v>
      </c>
      <c r="J372" s="5" t="s">
        <v>1314</v>
      </c>
      <c r="K372" s="5" t="s">
        <v>1315</v>
      </c>
    </row>
    <row r="373" customFormat="false" ht="15" hidden="false" customHeight="false" outlineLevel="0" collapsed="false">
      <c r="A373" s="5" t="s">
        <v>51</v>
      </c>
      <c r="B373" s="5" t="s">
        <v>3264</v>
      </c>
      <c r="C373" s="5" t="s">
        <v>3265</v>
      </c>
      <c r="D373" s="5" t="s">
        <v>3266</v>
      </c>
      <c r="E373" s="5" t="s">
        <v>3155</v>
      </c>
      <c r="F373" s="5" t="s">
        <v>265</v>
      </c>
      <c r="G373" s="5" t="s">
        <v>345</v>
      </c>
      <c r="H373" s="5" t="n">
        <v>1</v>
      </c>
      <c r="I373" s="5" t="s">
        <v>1971</v>
      </c>
      <c r="J373" s="5" t="s">
        <v>3267</v>
      </c>
      <c r="K373" s="5" t="s">
        <v>3268</v>
      </c>
    </row>
    <row r="374" customFormat="false" ht="15" hidden="false" customHeight="false" outlineLevel="0" collapsed="false">
      <c r="A374" s="5" t="s">
        <v>54</v>
      </c>
      <c r="B374" s="5" t="s">
        <v>3269</v>
      </c>
      <c r="C374" s="5" t="s">
        <v>3270</v>
      </c>
      <c r="D374" s="5" t="s">
        <v>3271</v>
      </c>
      <c r="E374" s="5" t="s">
        <v>3155</v>
      </c>
      <c r="F374" s="5" t="s">
        <v>265</v>
      </c>
      <c r="G374" s="5" t="s">
        <v>345</v>
      </c>
      <c r="H374" s="5" t="n">
        <v>3</v>
      </c>
      <c r="I374" s="5" t="s">
        <v>1709</v>
      </c>
      <c r="J374" s="5" t="s">
        <v>3272</v>
      </c>
      <c r="K374" s="5" t="s">
        <v>3273</v>
      </c>
    </row>
    <row r="375" customFormat="false" ht="15" hidden="false" customHeight="false" outlineLevel="0" collapsed="false">
      <c r="A375" s="5" t="s">
        <v>80</v>
      </c>
      <c r="B375" s="5" t="s">
        <v>3274</v>
      </c>
      <c r="C375" s="5" t="s">
        <v>3275</v>
      </c>
      <c r="D375" s="5" t="s">
        <v>3276</v>
      </c>
      <c r="E375" s="5" t="s">
        <v>3155</v>
      </c>
      <c r="F375" s="5" t="s">
        <v>265</v>
      </c>
      <c r="G375" s="5" t="s">
        <v>345</v>
      </c>
      <c r="H375" s="5" t="n">
        <v>2</v>
      </c>
      <c r="I375" s="5" t="s">
        <v>1647</v>
      </c>
      <c r="J375" s="5" t="s">
        <v>3277</v>
      </c>
      <c r="K375" s="5" t="s">
        <v>3278</v>
      </c>
    </row>
    <row r="376" customFormat="false" ht="15" hidden="false" customHeight="false" outlineLevel="0" collapsed="false">
      <c r="A376" s="9" t="s">
        <v>66</v>
      </c>
      <c r="B376" s="9" t="s">
        <v>944</v>
      </c>
      <c r="C376" s="9" t="s">
        <v>3279</v>
      </c>
      <c r="D376" s="9" t="s">
        <v>3280</v>
      </c>
      <c r="E376" s="9" t="s">
        <v>3155</v>
      </c>
      <c r="F376" s="9" t="s">
        <v>190</v>
      </c>
      <c r="G376" s="9" t="s">
        <v>695</v>
      </c>
      <c r="H376" s="9" t="n">
        <v>5</v>
      </c>
      <c r="I376" s="9" t="s">
        <v>1709</v>
      </c>
      <c r="J376" s="9" t="s">
        <v>945</v>
      </c>
      <c r="K376" s="9" t="s">
        <v>946</v>
      </c>
    </row>
    <row r="377" customFormat="false" ht="15" hidden="false" customHeight="false" outlineLevel="0" collapsed="false">
      <c r="A377" s="5" t="s">
        <v>72</v>
      </c>
      <c r="B377" s="5" t="s">
        <v>3281</v>
      </c>
      <c r="C377" s="5" t="s">
        <v>3282</v>
      </c>
      <c r="D377" s="5" t="s">
        <v>3283</v>
      </c>
      <c r="E377" s="5" t="s">
        <v>3155</v>
      </c>
      <c r="F377" s="5" t="s">
        <v>265</v>
      </c>
      <c r="G377" s="5" t="s">
        <v>345</v>
      </c>
      <c r="H377" s="5" t="n">
        <v>10</v>
      </c>
      <c r="I377" s="5" t="s">
        <v>1670</v>
      </c>
      <c r="J377" s="5" t="s">
        <v>3284</v>
      </c>
      <c r="K377" s="5" t="s">
        <v>3285</v>
      </c>
    </row>
    <row r="378" customFormat="false" ht="15" hidden="false" customHeight="false" outlineLevel="0" collapsed="false">
      <c r="A378" s="5" t="s">
        <v>54</v>
      </c>
      <c r="B378" s="5" t="s">
        <v>3286</v>
      </c>
      <c r="C378" s="5" t="s">
        <v>3287</v>
      </c>
      <c r="D378" s="5" t="s">
        <v>3288</v>
      </c>
      <c r="E378" s="5" t="s">
        <v>3155</v>
      </c>
      <c r="F378" s="5" t="s">
        <v>265</v>
      </c>
      <c r="G378" s="5" t="s">
        <v>345</v>
      </c>
      <c r="H378" s="5" t="n">
        <v>3</v>
      </c>
      <c r="I378" s="5" t="s">
        <v>1709</v>
      </c>
      <c r="J378" s="5" t="s">
        <v>3289</v>
      </c>
      <c r="K378" s="5" t="s">
        <v>3290</v>
      </c>
    </row>
    <row r="379" customFormat="false" ht="15" hidden="false" customHeight="false" outlineLevel="0" collapsed="false">
      <c r="A379" s="5" t="s">
        <v>76</v>
      </c>
      <c r="B379" s="5" t="s">
        <v>1165</v>
      </c>
      <c r="C379" s="5" t="s">
        <v>3291</v>
      </c>
      <c r="D379" s="5" t="s">
        <v>3292</v>
      </c>
      <c r="E379" s="5" t="s">
        <v>3155</v>
      </c>
      <c r="F379" s="5" t="s">
        <v>265</v>
      </c>
      <c r="G379" s="5" t="s">
        <v>345</v>
      </c>
      <c r="H379" s="5" t="n">
        <v>7</v>
      </c>
      <c r="I379" s="5" t="s">
        <v>1971</v>
      </c>
      <c r="J379" s="5" t="s">
        <v>1166</v>
      </c>
      <c r="K379" s="5" t="s">
        <v>1167</v>
      </c>
    </row>
    <row r="380" customFormat="false" ht="15" hidden="false" customHeight="false" outlineLevel="0" collapsed="false">
      <c r="A380" s="5" t="s">
        <v>43</v>
      </c>
      <c r="B380" s="5" t="s">
        <v>3293</v>
      </c>
      <c r="C380" s="5" t="s">
        <v>3294</v>
      </c>
      <c r="D380" s="5" t="s">
        <v>3295</v>
      </c>
      <c r="E380" s="5" t="s">
        <v>3155</v>
      </c>
      <c r="F380" s="5" t="s">
        <v>265</v>
      </c>
      <c r="G380" s="5" t="s">
        <v>345</v>
      </c>
      <c r="H380" s="5" t="n">
        <v>2</v>
      </c>
      <c r="I380" s="5" t="s">
        <v>1858</v>
      </c>
      <c r="J380" s="5" t="s">
        <v>3296</v>
      </c>
      <c r="K380" s="5" t="s">
        <v>3297</v>
      </c>
    </row>
    <row r="381" customFormat="false" ht="15" hidden="false" customHeight="false" outlineLevel="0" collapsed="false">
      <c r="A381" s="5" t="s">
        <v>54</v>
      </c>
      <c r="B381" s="5" t="s">
        <v>3298</v>
      </c>
      <c r="C381" s="5" t="s">
        <v>3299</v>
      </c>
      <c r="D381" s="5" t="s">
        <v>3300</v>
      </c>
      <c r="E381" s="5" t="s">
        <v>3155</v>
      </c>
      <c r="F381" s="5" t="s">
        <v>265</v>
      </c>
      <c r="G381" s="5" t="s">
        <v>345</v>
      </c>
      <c r="H381" s="5" t="n">
        <v>4</v>
      </c>
      <c r="I381" s="5" t="s">
        <v>1629</v>
      </c>
      <c r="J381" s="5" t="s">
        <v>3301</v>
      </c>
      <c r="K381" s="5" t="s">
        <v>3302</v>
      </c>
    </row>
    <row r="382" customFormat="false" ht="15" hidden="false" customHeight="false" outlineLevel="0" collapsed="false">
      <c r="A382" s="5" t="s">
        <v>69</v>
      </c>
      <c r="B382" s="5" t="s">
        <v>3303</v>
      </c>
      <c r="C382" s="5" t="s">
        <v>3304</v>
      </c>
      <c r="D382" s="5" t="s">
        <v>3305</v>
      </c>
      <c r="E382" s="5" t="s">
        <v>3155</v>
      </c>
      <c r="F382" s="5" t="s">
        <v>265</v>
      </c>
      <c r="G382" s="5" t="s">
        <v>436</v>
      </c>
      <c r="H382" s="5" t="n">
        <v>2</v>
      </c>
      <c r="I382" s="5" t="s">
        <v>1709</v>
      </c>
      <c r="J382" s="5" t="s">
        <v>3306</v>
      </c>
      <c r="K382" s="5" t="s">
        <v>3307</v>
      </c>
    </row>
    <row r="383" customFormat="false" ht="15" hidden="false" customHeight="false" outlineLevel="0" collapsed="false">
      <c r="A383" s="5" t="s">
        <v>66</v>
      </c>
      <c r="B383" s="5" t="s">
        <v>3308</v>
      </c>
      <c r="C383" s="5" t="s">
        <v>3309</v>
      </c>
      <c r="D383" s="5" t="s">
        <v>3310</v>
      </c>
      <c r="E383" s="5" t="s">
        <v>3155</v>
      </c>
      <c r="F383" s="5" t="s">
        <v>265</v>
      </c>
      <c r="G383" s="5" t="s">
        <v>345</v>
      </c>
      <c r="H383" s="5" t="n">
        <v>2</v>
      </c>
      <c r="I383" s="5" t="s">
        <v>1709</v>
      </c>
      <c r="J383" s="5" t="s">
        <v>3311</v>
      </c>
      <c r="K383" s="5" t="s">
        <v>3312</v>
      </c>
    </row>
    <row r="384" customFormat="false" ht="15" hidden="false" customHeight="false" outlineLevel="0" collapsed="false">
      <c r="A384" s="5" t="s">
        <v>51</v>
      </c>
      <c r="B384" s="5" t="s">
        <v>668</v>
      </c>
      <c r="C384" s="5" t="s">
        <v>3313</v>
      </c>
      <c r="D384" s="5" t="s">
        <v>3314</v>
      </c>
      <c r="E384" s="5" t="s">
        <v>3155</v>
      </c>
      <c r="F384" s="5" t="s">
        <v>265</v>
      </c>
      <c r="G384" s="5" t="s">
        <v>345</v>
      </c>
      <c r="H384" s="5" t="n">
        <v>4</v>
      </c>
      <c r="I384" s="5" t="s">
        <v>1709</v>
      </c>
      <c r="J384" s="5" t="s">
        <v>669</v>
      </c>
      <c r="K384" s="5" t="s">
        <v>670</v>
      </c>
    </row>
    <row r="385" customFormat="false" ht="15" hidden="false" customHeight="false" outlineLevel="0" collapsed="false">
      <c r="A385" s="5" t="s">
        <v>47</v>
      </c>
      <c r="B385" s="5" t="s">
        <v>3315</v>
      </c>
      <c r="C385" s="5" t="s">
        <v>3316</v>
      </c>
      <c r="D385" s="5" t="s">
        <v>3317</v>
      </c>
      <c r="E385" s="5" t="s">
        <v>3155</v>
      </c>
      <c r="F385" s="5" t="s">
        <v>265</v>
      </c>
      <c r="G385" s="5" t="s">
        <v>345</v>
      </c>
      <c r="H385" s="5" t="n">
        <v>9</v>
      </c>
      <c r="I385" s="5" t="s">
        <v>1927</v>
      </c>
      <c r="J385" s="5" t="s">
        <v>3318</v>
      </c>
      <c r="K385" s="5" t="s">
        <v>3319</v>
      </c>
    </row>
    <row r="386" customFormat="false" ht="15" hidden="false" customHeight="false" outlineLevel="0" collapsed="false">
      <c r="A386" s="5" t="s">
        <v>66</v>
      </c>
      <c r="B386" s="5" t="s">
        <v>3320</v>
      </c>
      <c r="C386" s="5" t="s">
        <v>3321</v>
      </c>
      <c r="D386" s="5" t="s">
        <v>3322</v>
      </c>
      <c r="E386" s="5" t="s">
        <v>3155</v>
      </c>
      <c r="F386" s="5" t="s">
        <v>265</v>
      </c>
      <c r="G386" s="5" t="s">
        <v>345</v>
      </c>
      <c r="H386" s="5" t="n">
        <v>1</v>
      </c>
      <c r="I386" s="5" t="s">
        <v>1911</v>
      </c>
      <c r="J386" s="5" t="s">
        <v>3323</v>
      </c>
      <c r="K386" s="5" t="s">
        <v>3324</v>
      </c>
    </row>
    <row r="387" customFormat="false" ht="15" hidden="false" customHeight="false" outlineLevel="0" collapsed="false">
      <c r="A387" s="5" t="s">
        <v>46</v>
      </c>
      <c r="B387" s="5" t="s">
        <v>3325</v>
      </c>
      <c r="C387" s="5" t="s">
        <v>3326</v>
      </c>
      <c r="D387" s="5" t="s">
        <v>3327</v>
      </c>
      <c r="E387" s="5" t="s">
        <v>3155</v>
      </c>
      <c r="F387" s="5" t="s">
        <v>265</v>
      </c>
      <c r="G387" s="5" t="s">
        <v>436</v>
      </c>
      <c r="H387" s="5" t="n">
        <v>3</v>
      </c>
      <c r="I387" s="5" t="s">
        <v>1640</v>
      </c>
      <c r="J387" s="5" t="s">
        <v>3328</v>
      </c>
      <c r="K387" s="5" t="s">
        <v>3329</v>
      </c>
    </row>
    <row r="388" customFormat="false" ht="15" hidden="false" customHeight="false" outlineLevel="0" collapsed="false">
      <c r="A388" s="5" t="s">
        <v>60</v>
      </c>
      <c r="B388" s="5" t="s">
        <v>836</v>
      </c>
      <c r="C388" s="5" t="s">
        <v>3330</v>
      </c>
      <c r="D388" s="5" t="s">
        <v>3331</v>
      </c>
      <c r="E388" s="5" t="s">
        <v>3155</v>
      </c>
      <c r="F388" s="5" t="s">
        <v>104</v>
      </c>
      <c r="G388" s="5" t="s">
        <v>837</v>
      </c>
      <c r="H388" s="5" t="n">
        <v>13</v>
      </c>
      <c r="I388" s="5" t="s">
        <v>2087</v>
      </c>
      <c r="J388" s="5" t="s">
        <v>838</v>
      </c>
      <c r="K388" s="5" t="s">
        <v>839</v>
      </c>
    </row>
    <row r="389" customFormat="false" ht="15" hidden="false" customHeight="false" outlineLevel="0" collapsed="false">
      <c r="A389" s="5" t="s">
        <v>43</v>
      </c>
      <c r="B389" s="5" t="s">
        <v>454</v>
      </c>
      <c r="C389" s="5" t="s">
        <v>3332</v>
      </c>
      <c r="D389" s="5" t="s">
        <v>3333</v>
      </c>
      <c r="E389" s="5" t="s">
        <v>3155</v>
      </c>
      <c r="F389" s="5" t="s">
        <v>104</v>
      </c>
      <c r="G389" s="5" t="s">
        <v>445</v>
      </c>
      <c r="H389" s="5" t="n">
        <v>5</v>
      </c>
      <c r="I389" s="5" t="s">
        <v>1966</v>
      </c>
      <c r="J389" s="5" t="s">
        <v>455</v>
      </c>
      <c r="K389" s="5" t="s">
        <v>456</v>
      </c>
    </row>
    <row r="390" customFormat="false" ht="15" hidden="false" customHeight="false" outlineLevel="0" collapsed="false">
      <c r="A390" s="5" t="s">
        <v>69</v>
      </c>
      <c r="B390" s="5" t="s">
        <v>3334</v>
      </c>
      <c r="C390" s="5" t="s">
        <v>3335</v>
      </c>
      <c r="D390" s="5" t="s">
        <v>3336</v>
      </c>
      <c r="E390" s="5" t="s">
        <v>3155</v>
      </c>
      <c r="F390" s="5" t="s">
        <v>265</v>
      </c>
      <c r="G390" s="5" t="s">
        <v>345</v>
      </c>
      <c r="H390" s="5" t="n">
        <v>6</v>
      </c>
      <c r="I390" s="5" t="s">
        <v>1709</v>
      </c>
      <c r="J390" s="5" t="s">
        <v>3337</v>
      </c>
      <c r="K390" s="5" t="s">
        <v>3338</v>
      </c>
    </row>
    <row r="391" customFormat="false" ht="15" hidden="false" customHeight="false" outlineLevel="0" collapsed="false">
      <c r="A391" s="5" t="s">
        <v>92</v>
      </c>
      <c r="B391" s="5" t="s">
        <v>1459</v>
      </c>
      <c r="C391" s="5" t="s">
        <v>3339</v>
      </c>
      <c r="D391" s="5" t="s">
        <v>3340</v>
      </c>
      <c r="E391" s="5" t="s">
        <v>3155</v>
      </c>
      <c r="F391" s="5" t="s">
        <v>265</v>
      </c>
      <c r="G391" s="5" t="s">
        <v>345</v>
      </c>
      <c r="H391" s="5" t="n">
        <v>2</v>
      </c>
      <c r="I391" s="5" t="s">
        <v>2292</v>
      </c>
      <c r="J391" s="5" t="s">
        <v>1460</v>
      </c>
      <c r="K391" s="5" t="s">
        <v>1461</v>
      </c>
    </row>
    <row r="392" customFormat="false" ht="15" hidden="false" customHeight="false" outlineLevel="0" collapsed="false">
      <c r="A392" s="5" t="s">
        <v>83</v>
      </c>
      <c r="B392" s="5" t="s">
        <v>1267</v>
      </c>
      <c r="C392" s="5" t="s">
        <v>3341</v>
      </c>
      <c r="D392" s="5" t="s">
        <v>3342</v>
      </c>
      <c r="E392" s="5" t="s">
        <v>3155</v>
      </c>
      <c r="F392" s="5" t="s">
        <v>265</v>
      </c>
      <c r="G392" s="5" t="s">
        <v>345</v>
      </c>
      <c r="H392" s="5" t="n">
        <v>4</v>
      </c>
      <c r="I392" s="5" t="s">
        <v>2229</v>
      </c>
      <c r="J392" s="5" t="s">
        <v>1268</v>
      </c>
      <c r="K392" s="5" t="s">
        <v>1269</v>
      </c>
    </row>
    <row r="393" customFormat="false" ht="15" hidden="false" customHeight="false" outlineLevel="0" collapsed="false">
      <c r="A393" s="5" t="s">
        <v>95</v>
      </c>
      <c r="B393" s="5" t="s">
        <v>3343</v>
      </c>
      <c r="C393" s="5" t="s">
        <v>3344</v>
      </c>
      <c r="D393" s="5" t="s">
        <v>3345</v>
      </c>
      <c r="E393" s="5" t="s">
        <v>3155</v>
      </c>
      <c r="F393" s="5" t="s">
        <v>265</v>
      </c>
      <c r="G393" s="5" t="s">
        <v>345</v>
      </c>
      <c r="H393" s="5" t="n">
        <v>9</v>
      </c>
      <c r="I393" s="5" t="s">
        <v>1635</v>
      </c>
      <c r="J393" s="5" t="s">
        <v>3346</v>
      </c>
      <c r="K393" s="5" t="s">
        <v>3347</v>
      </c>
    </row>
    <row r="394" customFormat="false" ht="15" hidden="false" customHeight="false" outlineLevel="0" collapsed="false">
      <c r="A394" s="5" t="s">
        <v>57</v>
      </c>
      <c r="B394" s="5" t="s">
        <v>3348</v>
      </c>
      <c r="C394" s="5" t="s">
        <v>3349</v>
      </c>
      <c r="D394" s="5" t="s">
        <v>3350</v>
      </c>
      <c r="E394" s="5" t="s">
        <v>3155</v>
      </c>
      <c r="F394" s="5" t="s">
        <v>265</v>
      </c>
      <c r="G394" s="5" t="s">
        <v>345</v>
      </c>
      <c r="H394" s="5" t="n">
        <v>2</v>
      </c>
      <c r="I394" s="5" t="s">
        <v>1656</v>
      </c>
      <c r="J394" s="5" t="s">
        <v>3351</v>
      </c>
      <c r="K394" s="5" t="s">
        <v>3352</v>
      </c>
    </row>
    <row r="395" customFormat="false" ht="15" hidden="false" customHeight="false" outlineLevel="0" collapsed="false">
      <c r="A395" s="5" t="s">
        <v>98</v>
      </c>
      <c r="B395" s="5" t="s">
        <v>1562</v>
      </c>
      <c r="C395" s="5" t="s">
        <v>3353</v>
      </c>
      <c r="D395" s="5" t="s">
        <v>3354</v>
      </c>
      <c r="E395" s="5" t="s">
        <v>3155</v>
      </c>
      <c r="F395" s="5" t="s">
        <v>265</v>
      </c>
      <c r="G395" s="5" t="s">
        <v>345</v>
      </c>
      <c r="H395" s="5" t="n">
        <v>1</v>
      </c>
      <c r="I395" s="5" t="s">
        <v>2208</v>
      </c>
      <c r="J395" s="5" t="s">
        <v>1563</v>
      </c>
      <c r="K395" s="5" t="s">
        <v>1564</v>
      </c>
    </row>
    <row r="396" customFormat="false" ht="15" hidden="false" customHeight="false" outlineLevel="0" collapsed="false">
      <c r="A396" s="5" t="s">
        <v>80</v>
      </c>
      <c r="B396" s="5" t="s">
        <v>3355</v>
      </c>
      <c r="C396" s="5" t="s">
        <v>3356</v>
      </c>
      <c r="D396" s="5" t="s">
        <v>3357</v>
      </c>
      <c r="E396" s="5" t="s">
        <v>3155</v>
      </c>
      <c r="F396" s="5" t="s">
        <v>265</v>
      </c>
      <c r="G396" s="5" t="s">
        <v>345</v>
      </c>
      <c r="H396" s="5" t="n">
        <v>4</v>
      </c>
      <c r="I396" s="5" t="s">
        <v>1647</v>
      </c>
      <c r="J396" s="5" t="s">
        <v>3358</v>
      </c>
      <c r="K396" s="5" t="s">
        <v>3359</v>
      </c>
    </row>
    <row r="397" customFormat="false" ht="15" hidden="false" customHeight="false" outlineLevel="0" collapsed="false">
      <c r="A397" s="5" t="s">
        <v>43</v>
      </c>
      <c r="B397" s="5" t="s">
        <v>458</v>
      </c>
      <c r="C397" s="5" t="s">
        <v>3360</v>
      </c>
      <c r="D397" s="5" t="s">
        <v>3361</v>
      </c>
      <c r="E397" s="5" t="s">
        <v>3155</v>
      </c>
      <c r="F397" s="5" t="s">
        <v>104</v>
      </c>
      <c r="G397" s="5" t="s">
        <v>459</v>
      </c>
      <c r="H397" s="5" t="n">
        <v>5</v>
      </c>
      <c r="I397" s="5" t="s">
        <v>1709</v>
      </c>
      <c r="J397" s="5" t="s">
        <v>460</v>
      </c>
      <c r="K397" s="5" t="s">
        <v>461</v>
      </c>
    </row>
    <row r="398" customFormat="false" ht="15" hidden="false" customHeight="false" outlineLevel="0" collapsed="false">
      <c r="A398" s="5" t="s">
        <v>92</v>
      </c>
      <c r="B398" s="5" t="s">
        <v>3362</v>
      </c>
      <c r="C398" s="5" t="s">
        <v>3363</v>
      </c>
      <c r="D398" s="5" t="s">
        <v>3364</v>
      </c>
      <c r="E398" s="5" t="s">
        <v>3155</v>
      </c>
      <c r="F398" s="5" t="s">
        <v>265</v>
      </c>
      <c r="G398" s="5" t="s">
        <v>345</v>
      </c>
      <c r="H398" s="5" t="n">
        <v>2</v>
      </c>
      <c r="I398" s="5" t="s">
        <v>1709</v>
      </c>
      <c r="J398" s="5" t="s">
        <v>3365</v>
      </c>
      <c r="K398" s="5" t="s">
        <v>3366</v>
      </c>
    </row>
    <row r="399" customFormat="false" ht="15" hidden="false" customHeight="false" outlineLevel="0" collapsed="false">
      <c r="A399" s="5" t="s">
        <v>75</v>
      </c>
      <c r="B399" s="5" t="s">
        <v>1107</v>
      </c>
      <c r="C399" s="5" t="s">
        <v>3367</v>
      </c>
      <c r="D399" s="5" t="s">
        <v>3368</v>
      </c>
      <c r="E399" s="5" t="s">
        <v>3155</v>
      </c>
      <c r="F399" s="5" t="s">
        <v>104</v>
      </c>
      <c r="G399" s="5" t="s">
        <v>445</v>
      </c>
      <c r="H399" s="5" t="n">
        <v>4</v>
      </c>
      <c r="I399" s="5" t="s">
        <v>1656</v>
      </c>
      <c r="J399" s="5" t="s">
        <v>1108</v>
      </c>
      <c r="K399" s="5" t="s">
        <v>1109</v>
      </c>
    </row>
    <row r="400" customFormat="false" ht="15" hidden="false" customHeight="false" outlineLevel="0" collapsed="false">
      <c r="A400" s="5" t="s">
        <v>92</v>
      </c>
      <c r="B400" s="5" t="s">
        <v>3369</v>
      </c>
      <c r="C400" s="5" t="s">
        <v>3370</v>
      </c>
      <c r="D400" s="5" t="s">
        <v>3371</v>
      </c>
      <c r="E400" s="5" t="s">
        <v>3155</v>
      </c>
      <c r="F400" s="5" t="s">
        <v>104</v>
      </c>
      <c r="G400" s="5" t="s">
        <v>3372</v>
      </c>
      <c r="H400" s="5" t="n">
        <v>5</v>
      </c>
      <c r="I400" s="5" t="s">
        <v>3373</v>
      </c>
      <c r="J400" s="5" t="s">
        <v>3374</v>
      </c>
      <c r="K400" s="5" t="s">
        <v>3375</v>
      </c>
    </row>
    <row r="401" customFormat="false" ht="15" hidden="false" customHeight="false" outlineLevel="0" collapsed="false">
      <c r="A401" s="5" t="s">
        <v>51</v>
      </c>
      <c r="B401" s="5" t="s">
        <v>3376</v>
      </c>
      <c r="C401" s="5" t="s">
        <v>3377</v>
      </c>
      <c r="D401" s="5" t="s">
        <v>3378</v>
      </c>
      <c r="E401" s="5" t="s">
        <v>3155</v>
      </c>
      <c r="F401" s="5" t="s">
        <v>265</v>
      </c>
      <c r="G401" s="5" t="s">
        <v>345</v>
      </c>
      <c r="H401" s="5" t="n">
        <v>2</v>
      </c>
      <c r="I401" s="5" t="s">
        <v>1709</v>
      </c>
      <c r="J401" s="5" t="s">
        <v>3379</v>
      </c>
      <c r="K401" s="5" t="s">
        <v>3380</v>
      </c>
    </row>
    <row r="402" customFormat="false" ht="15" hidden="false" customHeight="false" outlineLevel="0" collapsed="false">
      <c r="A402" s="5" t="s">
        <v>40</v>
      </c>
      <c r="B402" s="5" t="s">
        <v>3381</v>
      </c>
      <c r="C402" s="5" t="s">
        <v>3382</v>
      </c>
      <c r="D402" s="5" t="s">
        <v>3383</v>
      </c>
      <c r="E402" s="5" t="s">
        <v>3155</v>
      </c>
      <c r="F402" s="5" t="s">
        <v>265</v>
      </c>
      <c r="G402" s="5" t="s">
        <v>345</v>
      </c>
      <c r="H402" s="5" t="n">
        <v>2</v>
      </c>
      <c r="I402" s="5" t="s">
        <v>1709</v>
      </c>
      <c r="J402" s="5" t="s">
        <v>3384</v>
      </c>
      <c r="K402" s="5" t="s">
        <v>3385</v>
      </c>
    </row>
    <row r="403" customFormat="false" ht="15" hidden="false" customHeight="false" outlineLevel="0" collapsed="false">
      <c r="A403" s="5" t="s">
        <v>54</v>
      </c>
      <c r="B403" s="5" t="s">
        <v>751</v>
      </c>
      <c r="C403" s="5" t="s">
        <v>3386</v>
      </c>
      <c r="D403" s="5" t="s">
        <v>3387</v>
      </c>
      <c r="E403" s="5" t="s">
        <v>3155</v>
      </c>
      <c r="F403" s="5" t="s">
        <v>265</v>
      </c>
      <c r="G403" s="5" t="s">
        <v>436</v>
      </c>
      <c r="H403" s="5" t="n">
        <v>2</v>
      </c>
      <c r="I403" s="5" t="s">
        <v>1800</v>
      </c>
      <c r="J403" s="5" t="s">
        <v>752</v>
      </c>
      <c r="K403" s="5" t="s">
        <v>753</v>
      </c>
    </row>
    <row r="404" customFormat="false" ht="15" hidden="false" customHeight="false" outlineLevel="0" collapsed="false">
      <c r="A404" s="5" t="s">
        <v>47</v>
      </c>
      <c r="B404" s="5" t="s">
        <v>3388</v>
      </c>
      <c r="C404" s="5" t="s">
        <v>3389</v>
      </c>
      <c r="D404" s="5" t="s">
        <v>3390</v>
      </c>
      <c r="E404" s="5" t="s">
        <v>3155</v>
      </c>
      <c r="F404" s="5" t="s">
        <v>265</v>
      </c>
      <c r="G404" s="5" t="s">
        <v>345</v>
      </c>
      <c r="H404" s="5" t="n">
        <v>2</v>
      </c>
      <c r="I404" s="5" t="s">
        <v>1670</v>
      </c>
      <c r="J404" s="5" t="s">
        <v>3391</v>
      </c>
      <c r="K404" s="5" t="s">
        <v>3392</v>
      </c>
    </row>
    <row r="405" customFormat="false" ht="15" hidden="false" customHeight="false" outlineLevel="0" collapsed="false">
      <c r="A405" s="5" t="s">
        <v>60</v>
      </c>
      <c r="B405" s="5" t="s">
        <v>3393</v>
      </c>
      <c r="C405" s="5" t="s">
        <v>3394</v>
      </c>
      <c r="D405" s="5" t="s">
        <v>3395</v>
      </c>
      <c r="E405" s="5" t="s">
        <v>3155</v>
      </c>
      <c r="F405" s="5" t="s">
        <v>265</v>
      </c>
      <c r="G405" s="5" t="s">
        <v>345</v>
      </c>
      <c r="H405" s="5" t="n">
        <v>3</v>
      </c>
      <c r="I405" s="5" t="s">
        <v>1709</v>
      </c>
      <c r="J405" s="5" t="s">
        <v>3396</v>
      </c>
      <c r="K405" s="5" t="s">
        <v>3397</v>
      </c>
    </row>
    <row r="406" customFormat="false" ht="15" hidden="false" customHeight="false" outlineLevel="0" collapsed="false">
      <c r="A406" s="5" t="s">
        <v>98</v>
      </c>
      <c r="B406" s="5" t="s">
        <v>3398</v>
      </c>
      <c r="C406" s="5" t="s">
        <v>3399</v>
      </c>
      <c r="D406" s="5" t="s">
        <v>3400</v>
      </c>
      <c r="E406" s="5" t="s">
        <v>3155</v>
      </c>
      <c r="F406" s="5" t="s">
        <v>265</v>
      </c>
      <c r="G406" s="5" t="s">
        <v>345</v>
      </c>
      <c r="H406" s="5" t="n">
        <v>3</v>
      </c>
      <c r="I406" s="5" t="s">
        <v>1747</v>
      </c>
      <c r="J406" s="5" t="s">
        <v>3401</v>
      </c>
      <c r="K406" s="5" t="s">
        <v>3402</v>
      </c>
    </row>
    <row r="407" customFormat="false" ht="15" hidden="false" customHeight="false" outlineLevel="0" collapsed="false">
      <c r="A407" s="5" t="s">
        <v>83</v>
      </c>
      <c r="B407" s="5" t="s">
        <v>1271</v>
      </c>
      <c r="C407" s="5" t="s">
        <v>3403</v>
      </c>
      <c r="D407" s="5" t="s">
        <v>3404</v>
      </c>
      <c r="E407" s="5" t="s">
        <v>3155</v>
      </c>
      <c r="F407" s="5" t="s">
        <v>265</v>
      </c>
      <c r="G407" s="5" t="s">
        <v>436</v>
      </c>
      <c r="H407" s="5"/>
      <c r="I407" s="5" t="s">
        <v>2229</v>
      </c>
      <c r="J407" s="5" t="s">
        <v>1272</v>
      </c>
      <c r="K407" s="5" t="s">
        <v>1273</v>
      </c>
    </row>
    <row r="408" customFormat="false" ht="15" hidden="false" customHeight="false" outlineLevel="0" collapsed="false">
      <c r="A408" s="5" t="s">
        <v>80</v>
      </c>
      <c r="B408" s="5" t="s">
        <v>3405</v>
      </c>
      <c r="C408" s="5" t="s">
        <v>3406</v>
      </c>
      <c r="D408" s="5" t="s">
        <v>3407</v>
      </c>
      <c r="E408" s="5" t="s">
        <v>3155</v>
      </c>
      <c r="F408" s="5" t="s">
        <v>265</v>
      </c>
      <c r="G408" s="5" t="s">
        <v>345</v>
      </c>
      <c r="H408" s="5" t="n">
        <v>2</v>
      </c>
      <c r="I408" s="5" t="s">
        <v>1647</v>
      </c>
      <c r="J408" s="5" t="s">
        <v>3408</v>
      </c>
      <c r="K408" s="5" t="s">
        <v>3409</v>
      </c>
    </row>
    <row r="409" customFormat="false" ht="15" hidden="false" customHeight="false" outlineLevel="0" collapsed="false">
      <c r="A409" s="5" t="s">
        <v>54</v>
      </c>
      <c r="B409" s="5" t="s">
        <v>3410</v>
      </c>
      <c r="C409" s="5" t="s">
        <v>3411</v>
      </c>
      <c r="D409" s="5" t="s">
        <v>3412</v>
      </c>
      <c r="E409" s="5" t="s">
        <v>3155</v>
      </c>
      <c r="F409" s="5" t="s">
        <v>104</v>
      </c>
      <c r="G409" s="5" t="s">
        <v>1116</v>
      </c>
      <c r="H409" s="5" t="n">
        <v>7</v>
      </c>
      <c r="I409" s="5" t="s">
        <v>1882</v>
      </c>
      <c r="J409" s="5" t="s">
        <v>3413</v>
      </c>
      <c r="K409" s="5" t="s">
        <v>3414</v>
      </c>
    </row>
    <row r="410" customFormat="false" ht="15" hidden="false" customHeight="false" outlineLevel="0" collapsed="false">
      <c r="A410" s="5" t="s">
        <v>60</v>
      </c>
      <c r="B410" s="5" t="s">
        <v>841</v>
      </c>
      <c r="C410" s="5" t="s">
        <v>3415</v>
      </c>
      <c r="D410" s="5" t="s">
        <v>3416</v>
      </c>
      <c r="E410" s="5" t="s">
        <v>3155</v>
      </c>
      <c r="F410" s="5" t="s">
        <v>104</v>
      </c>
      <c r="G410" s="5"/>
      <c r="H410" s="5"/>
      <c r="I410" s="5" t="s">
        <v>1919</v>
      </c>
      <c r="J410" s="5" t="s">
        <v>842</v>
      </c>
      <c r="K410" s="5" t="s">
        <v>843</v>
      </c>
    </row>
    <row r="411" customFormat="false" ht="15" hidden="false" customHeight="false" outlineLevel="0" collapsed="false">
      <c r="A411" s="5" t="s">
        <v>89</v>
      </c>
      <c r="B411" s="5" t="s">
        <v>3417</v>
      </c>
      <c r="C411" s="5" t="s">
        <v>3418</v>
      </c>
      <c r="D411" s="5"/>
      <c r="E411" s="5" t="s">
        <v>3155</v>
      </c>
      <c r="F411" s="5" t="s">
        <v>265</v>
      </c>
      <c r="G411" s="5" t="s">
        <v>345</v>
      </c>
      <c r="H411" s="5" t="n">
        <v>2</v>
      </c>
      <c r="I411" s="5" t="s">
        <v>1847</v>
      </c>
      <c r="J411" s="5" t="s">
        <v>3419</v>
      </c>
      <c r="K411" s="5" t="s">
        <v>3420</v>
      </c>
    </row>
    <row r="412" customFormat="false" ht="15" hidden="false" customHeight="false" outlineLevel="0" collapsed="false">
      <c r="A412" s="5" t="s">
        <v>40</v>
      </c>
      <c r="B412" s="5" t="s">
        <v>377</v>
      </c>
      <c r="C412" s="5" t="s">
        <v>3421</v>
      </c>
      <c r="D412" s="5" t="s">
        <v>3422</v>
      </c>
      <c r="E412" s="5" t="s">
        <v>3155</v>
      </c>
      <c r="F412" s="5" t="s">
        <v>265</v>
      </c>
      <c r="G412" s="5" t="s">
        <v>345</v>
      </c>
      <c r="H412" s="5" t="n">
        <v>3</v>
      </c>
      <c r="I412" s="5" t="s">
        <v>1670</v>
      </c>
      <c r="J412" s="5" t="s">
        <v>378</v>
      </c>
      <c r="K412" s="5" t="s">
        <v>379</v>
      </c>
    </row>
    <row r="413" customFormat="false" ht="15" hidden="false" customHeight="false" outlineLevel="0" collapsed="false">
      <c r="A413" s="5" t="s">
        <v>40</v>
      </c>
      <c r="B413" s="5" t="s">
        <v>3423</v>
      </c>
      <c r="C413" s="5" t="s">
        <v>3424</v>
      </c>
      <c r="D413" s="5" t="s">
        <v>3425</v>
      </c>
      <c r="E413" s="5" t="s">
        <v>3155</v>
      </c>
      <c r="F413" s="5" t="s">
        <v>265</v>
      </c>
      <c r="G413" s="5" t="s">
        <v>345</v>
      </c>
      <c r="H413" s="5" t="n">
        <v>2</v>
      </c>
      <c r="I413" s="5" t="s">
        <v>1652</v>
      </c>
      <c r="J413" s="5" t="s">
        <v>3426</v>
      </c>
      <c r="K413" s="5" t="s">
        <v>3427</v>
      </c>
    </row>
    <row r="414" customFormat="false" ht="15" hidden="false" customHeight="false" outlineLevel="0" collapsed="false">
      <c r="A414" s="5" t="s">
        <v>51</v>
      </c>
      <c r="B414" s="5" t="s">
        <v>3428</v>
      </c>
      <c r="C414" s="5" t="s">
        <v>3429</v>
      </c>
      <c r="D414" s="5" t="s">
        <v>3430</v>
      </c>
      <c r="E414" s="5" t="s">
        <v>3155</v>
      </c>
      <c r="F414" s="5" t="s">
        <v>104</v>
      </c>
      <c r="G414" s="5" t="s">
        <v>445</v>
      </c>
      <c r="H414" s="5" t="n">
        <v>3</v>
      </c>
      <c r="I414" s="5" t="s">
        <v>1709</v>
      </c>
      <c r="J414" s="5" t="s">
        <v>3431</v>
      </c>
      <c r="K414" s="5" t="s">
        <v>3432</v>
      </c>
    </row>
    <row r="415" customFormat="false" ht="15" hidden="false" customHeight="false" outlineLevel="0" collapsed="false">
      <c r="A415" s="5" t="s">
        <v>89</v>
      </c>
      <c r="B415" s="5" t="s">
        <v>1400</v>
      </c>
      <c r="C415" s="5" t="s">
        <v>1399</v>
      </c>
      <c r="D415" s="5" t="s">
        <v>3433</v>
      </c>
      <c r="E415" s="5" t="s">
        <v>3155</v>
      </c>
      <c r="F415" s="5" t="s">
        <v>265</v>
      </c>
      <c r="G415" s="5" t="s">
        <v>345</v>
      </c>
      <c r="H415" s="5" t="n">
        <v>8</v>
      </c>
      <c r="I415" s="5" t="s">
        <v>1694</v>
      </c>
      <c r="J415" s="5" t="s">
        <v>1401</v>
      </c>
      <c r="K415" s="5" t="s">
        <v>1402</v>
      </c>
    </row>
    <row r="416" customFormat="false" ht="15" hidden="false" customHeight="false" outlineLevel="0" collapsed="false">
      <c r="A416" s="5" t="s">
        <v>43</v>
      </c>
      <c r="B416" s="5" t="s">
        <v>3434</v>
      </c>
      <c r="C416" s="5" t="s">
        <v>3435</v>
      </c>
      <c r="D416" s="5" t="s">
        <v>3436</v>
      </c>
      <c r="E416" s="5" t="s">
        <v>3155</v>
      </c>
      <c r="F416" s="5" t="s">
        <v>265</v>
      </c>
      <c r="G416" s="5" t="s">
        <v>345</v>
      </c>
      <c r="H416" s="5" t="n">
        <v>3</v>
      </c>
      <c r="I416" s="5" t="s">
        <v>1966</v>
      </c>
      <c r="J416" s="5" t="s">
        <v>3437</v>
      </c>
      <c r="K416" s="5" t="s">
        <v>3438</v>
      </c>
    </row>
    <row r="417" customFormat="false" ht="15" hidden="false" customHeight="false" outlineLevel="0" collapsed="false">
      <c r="A417" s="5" t="s">
        <v>98</v>
      </c>
      <c r="B417" s="5" t="s">
        <v>3439</v>
      </c>
      <c r="C417" s="5" t="s">
        <v>3440</v>
      </c>
      <c r="D417" s="5" t="s">
        <v>3441</v>
      </c>
      <c r="E417" s="5" t="s">
        <v>3155</v>
      </c>
      <c r="F417" s="5" t="s">
        <v>265</v>
      </c>
      <c r="G417" s="5" t="s">
        <v>345</v>
      </c>
      <c r="H417" s="5"/>
      <c r="I417" s="5" t="s">
        <v>1635</v>
      </c>
      <c r="J417" s="5" t="s">
        <v>3442</v>
      </c>
      <c r="K417" s="5" t="s">
        <v>3443</v>
      </c>
    </row>
    <row r="418" customFormat="false" ht="15" hidden="false" customHeight="false" outlineLevel="0" collapsed="false">
      <c r="A418" s="5" t="s">
        <v>72</v>
      </c>
      <c r="B418" s="5" t="s">
        <v>3444</v>
      </c>
      <c r="C418" s="5" t="s">
        <v>3445</v>
      </c>
      <c r="D418" s="5" t="s">
        <v>3446</v>
      </c>
      <c r="E418" s="5" t="s">
        <v>3155</v>
      </c>
      <c r="F418" s="5" t="s">
        <v>265</v>
      </c>
      <c r="G418" s="5" t="s">
        <v>345</v>
      </c>
      <c r="H418" s="5" t="n">
        <v>40</v>
      </c>
      <c r="I418" s="5" t="s">
        <v>1656</v>
      </c>
      <c r="J418" s="5" t="s">
        <v>3447</v>
      </c>
      <c r="K418" s="5" t="s">
        <v>3448</v>
      </c>
    </row>
    <row r="419" customFormat="false" ht="15" hidden="false" customHeight="false" outlineLevel="0" collapsed="false">
      <c r="A419" s="5" t="s">
        <v>63</v>
      </c>
      <c r="B419" s="5" t="s">
        <v>888</v>
      </c>
      <c r="C419" s="5" t="s">
        <v>3449</v>
      </c>
      <c r="D419" s="5" t="s">
        <v>3450</v>
      </c>
      <c r="E419" s="5" t="s">
        <v>3155</v>
      </c>
      <c r="F419" s="5" t="s">
        <v>265</v>
      </c>
      <c r="G419" s="5" t="s">
        <v>345</v>
      </c>
      <c r="H419" s="5" t="n">
        <v>2</v>
      </c>
      <c r="I419" s="5" t="s">
        <v>1709</v>
      </c>
      <c r="J419" s="5" t="s">
        <v>889</v>
      </c>
      <c r="K419" s="5" t="s">
        <v>890</v>
      </c>
    </row>
    <row r="420" customFormat="false" ht="15" hidden="false" customHeight="false" outlineLevel="0" collapsed="false">
      <c r="A420" s="5" t="s">
        <v>40</v>
      </c>
      <c r="B420" s="5" t="s">
        <v>3451</v>
      </c>
      <c r="C420" s="5" t="s">
        <v>3452</v>
      </c>
      <c r="D420" s="5" t="s">
        <v>3453</v>
      </c>
      <c r="E420" s="5" t="s">
        <v>3155</v>
      </c>
      <c r="F420" s="5" t="s">
        <v>265</v>
      </c>
      <c r="G420" s="5" t="s">
        <v>382</v>
      </c>
      <c r="H420" s="5" t="n">
        <v>2</v>
      </c>
      <c r="I420" s="5" t="s">
        <v>1652</v>
      </c>
      <c r="J420" s="5" t="s">
        <v>3454</v>
      </c>
      <c r="K420" s="5" t="s">
        <v>3455</v>
      </c>
    </row>
    <row r="421" customFormat="false" ht="15" hidden="false" customHeight="false" outlineLevel="0" collapsed="false">
      <c r="A421" s="5" t="s">
        <v>51</v>
      </c>
      <c r="B421" s="5" t="s">
        <v>3456</v>
      </c>
      <c r="C421" s="5" t="s">
        <v>3457</v>
      </c>
      <c r="D421" s="5" t="s">
        <v>3458</v>
      </c>
      <c r="E421" s="5" t="s">
        <v>3155</v>
      </c>
      <c r="F421" s="5" t="s">
        <v>265</v>
      </c>
      <c r="G421" s="5" t="s">
        <v>345</v>
      </c>
      <c r="H421" s="5" t="n">
        <v>2</v>
      </c>
      <c r="I421" s="5" t="s">
        <v>1747</v>
      </c>
      <c r="J421" s="5" t="s">
        <v>3459</v>
      </c>
      <c r="K421" s="5" t="s">
        <v>3460</v>
      </c>
    </row>
    <row r="422" customFormat="false" ht="15" hidden="false" customHeight="false" outlineLevel="0" collapsed="false">
      <c r="A422" s="5" t="s">
        <v>95</v>
      </c>
      <c r="B422" s="5" t="s">
        <v>3461</v>
      </c>
      <c r="C422" s="5" t="s">
        <v>3462</v>
      </c>
      <c r="D422" s="5" t="s">
        <v>3463</v>
      </c>
      <c r="E422" s="5" t="s">
        <v>3155</v>
      </c>
      <c r="F422" s="5" t="s">
        <v>265</v>
      </c>
      <c r="G422" s="5" t="s">
        <v>345</v>
      </c>
      <c r="H422" s="5" t="n">
        <v>5</v>
      </c>
      <c r="I422" s="5" t="s">
        <v>1635</v>
      </c>
      <c r="J422" s="5" t="s">
        <v>3464</v>
      </c>
      <c r="K422" s="5" t="s">
        <v>3465</v>
      </c>
    </row>
    <row r="423" customFormat="false" ht="15" hidden="false" customHeight="false" outlineLevel="0" collapsed="false">
      <c r="A423" s="5" t="s">
        <v>92</v>
      </c>
      <c r="B423" s="5" t="s">
        <v>1467</v>
      </c>
      <c r="C423" s="5" t="s">
        <v>3466</v>
      </c>
      <c r="D423" s="5" t="s">
        <v>3467</v>
      </c>
      <c r="E423" s="5" t="s">
        <v>3155</v>
      </c>
      <c r="F423" s="5" t="s">
        <v>265</v>
      </c>
      <c r="G423" s="5" t="s">
        <v>345</v>
      </c>
      <c r="H423" s="5" t="n">
        <v>2</v>
      </c>
      <c r="I423" s="5" t="s">
        <v>3468</v>
      </c>
      <c r="J423" s="5" t="s">
        <v>1468</v>
      </c>
      <c r="K423" s="5" t="s">
        <v>1469</v>
      </c>
    </row>
    <row r="424" customFormat="false" ht="15" hidden="false" customHeight="false" outlineLevel="0" collapsed="false">
      <c r="A424" s="5" t="s">
        <v>80</v>
      </c>
      <c r="B424" s="5" t="s">
        <v>1210</v>
      </c>
      <c r="C424" s="5" t="s">
        <v>3469</v>
      </c>
      <c r="D424" s="5" t="s">
        <v>3470</v>
      </c>
      <c r="E424" s="5" t="s">
        <v>3155</v>
      </c>
      <c r="F424" s="5" t="s">
        <v>104</v>
      </c>
      <c r="G424" s="5" t="s">
        <v>450</v>
      </c>
      <c r="H424" s="5" t="n">
        <v>10</v>
      </c>
      <c r="I424" s="5" t="s">
        <v>1647</v>
      </c>
      <c r="J424" s="5" t="s">
        <v>1211</v>
      </c>
      <c r="K424" s="5" t="s">
        <v>1212</v>
      </c>
    </row>
    <row r="425" customFormat="false" ht="15" hidden="false" customHeight="false" outlineLevel="0" collapsed="false">
      <c r="A425" s="5" t="s">
        <v>63</v>
      </c>
      <c r="B425" s="5" t="s">
        <v>3471</v>
      </c>
      <c r="C425" s="5" t="s">
        <v>3472</v>
      </c>
      <c r="D425" s="5" t="s">
        <v>3473</v>
      </c>
      <c r="E425" s="5" t="s">
        <v>3155</v>
      </c>
      <c r="F425" s="5" t="s">
        <v>265</v>
      </c>
      <c r="G425" s="5" t="s">
        <v>345</v>
      </c>
      <c r="H425" s="5" t="n">
        <v>6</v>
      </c>
      <c r="I425" s="5" t="s">
        <v>1664</v>
      </c>
      <c r="J425" s="5" t="s">
        <v>3474</v>
      </c>
      <c r="K425" s="5" t="s">
        <v>3475</v>
      </c>
    </row>
    <row r="426" customFormat="false" ht="15" hidden="false" customHeight="false" outlineLevel="0" collapsed="false">
      <c r="A426" s="5" t="s">
        <v>54</v>
      </c>
      <c r="B426" s="5" t="s">
        <v>3476</v>
      </c>
      <c r="C426" s="5" t="s">
        <v>3477</v>
      </c>
      <c r="D426" s="5" t="s">
        <v>3478</v>
      </c>
      <c r="E426" s="5" t="s">
        <v>3155</v>
      </c>
      <c r="F426" s="5" t="s">
        <v>265</v>
      </c>
      <c r="G426" s="5" t="s">
        <v>345</v>
      </c>
      <c r="H426" s="5" t="n">
        <v>10</v>
      </c>
      <c r="I426" s="5" t="s">
        <v>1629</v>
      </c>
      <c r="J426" s="5" t="s">
        <v>3479</v>
      </c>
      <c r="K426" s="5" t="s">
        <v>3480</v>
      </c>
    </row>
    <row r="427" customFormat="false" ht="15" hidden="false" customHeight="false" outlineLevel="0" collapsed="false">
      <c r="A427" s="5" t="s">
        <v>80</v>
      </c>
      <c r="B427" s="5" t="s">
        <v>3481</v>
      </c>
      <c r="C427" s="5" t="s">
        <v>3482</v>
      </c>
      <c r="D427" s="5" t="s">
        <v>3483</v>
      </c>
      <c r="E427" s="5" t="s">
        <v>3155</v>
      </c>
      <c r="F427" s="5" t="s">
        <v>265</v>
      </c>
      <c r="G427" s="5" t="s">
        <v>436</v>
      </c>
      <c r="H427" s="5" t="n">
        <v>10</v>
      </c>
      <c r="I427" s="5" t="s">
        <v>1647</v>
      </c>
      <c r="J427" s="5" t="s">
        <v>3484</v>
      </c>
      <c r="K427" s="5" t="s">
        <v>3485</v>
      </c>
    </row>
    <row r="428" customFormat="false" ht="15" hidden="false" customHeight="false" outlineLevel="0" collapsed="false">
      <c r="A428" s="5" t="s">
        <v>75</v>
      </c>
      <c r="B428" s="5" t="s">
        <v>3486</v>
      </c>
      <c r="C428" s="5" t="s">
        <v>3487</v>
      </c>
      <c r="D428" s="5" t="s">
        <v>3488</v>
      </c>
      <c r="E428" s="5" t="s">
        <v>3155</v>
      </c>
      <c r="F428" s="5" t="s">
        <v>265</v>
      </c>
      <c r="G428" s="5" t="s">
        <v>345</v>
      </c>
      <c r="H428" s="5" t="n">
        <v>5</v>
      </c>
      <c r="I428" s="5" t="s">
        <v>1656</v>
      </c>
      <c r="J428" s="5" t="s">
        <v>3489</v>
      </c>
      <c r="K428" s="5" t="s">
        <v>3490</v>
      </c>
    </row>
    <row r="429" customFormat="false" ht="15" hidden="false" customHeight="false" outlineLevel="0" collapsed="false">
      <c r="A429" s="5" t="s">
        <v>66</v>
      </c>
      <c r="B429" s="5" t="s">
        <v>3491</v>
      </c>
      <c r="C429" s="5" t="s">
        <v>3492</v>
      </c>
      <c r="D429" s="5" t="s">
        <v>3493</v>
      </c>
      <c r="E429" s="5" t="s">
        <v>3155</v>
      </c>
      <c r="F429" s="5" t="s">
        <v>104</v>
      </c>
      <c r="G429" s="5" t="s">
        <v>445</v>
      </c>
      <c r="H429" s="5" t="n">
        <v>3</v>
      </c>
      <c r="I429" s="5" t="s">
        <v>1656</v>
      </c>
      <c r="J429" s="5" t="s">
        <v>3494</v>
      </c>
      <c r="K429" s="5" t="s">
        <v>3495</v>
      </c>
    </row>
    <row r="430" customFormat="false" ht="15" hidden="false" customHeight="false" outlineLevel="0" collapsed="false">
      <c r="A430" s="5" t="s">
        <v>98</v>
      </c>
      <c r="B430" s="5" t="s">
        <v>3496</v>
      </c>
      <c r="C430" s="5" t="s">
        <v>3497</v>
      </c>
      <c r="D430" s="5" t="s">
        <v>3498</v>
      </c>
      <c r="E430" s="5" t="s">
        <v>3155</v>
      </c>
      <c r="F430" s="5" t="s">
        <v>265</v>
      </c>
      <c r="G430" s="5" t="s">
        <v>382</v>
      </c>
      <c r="H430" s="5" t="n">
        <v>2</v>
      </c>
      <c r="I430" s="5" t="s">
        <v>1635</v>
      </c>
      <c r="J430" s="5" t="s">
        <v>3499</v>
      </c>
      <c r="K430" s="5" t="s">
        <v>3500</v>
      </c>
    </row>
    <row r="431" customFormat="false" ht="15" hidden="false" customHeight="false" outlineLevel="0" collapsed="false">
      <c r="A431" s="5" t="s">
        <v>95</v>
      </c>
      <c r="B431" s="5" t="s">
        <v>3501</v>
      </c>
      <c r="C431" s="5" t="s">
        <v>3502</v>
      </c>
      <c r="D431" s="5" t="s">
        <v>3503</v>
      </c>
      <c r="E431" s="5" t="s">
        <v>3155</v>
      </c>
      <c r="F431" s="5" t="s">
        <v>104</v>
      </c>
      <c r="G431" s="5" t="s">
        <v>445</v>
      </c>
      <c r="H431" s="5" t="n">
        <v>2</v>
      </c>
      <c r="I431" s="5" t="s">
        <v>1927</v>
      </c>
      <c r="J431" s="5" t="s">
        <v>3504</v>
      </c>
      <c r="K431" s="5" t="s">
        <v>3505</v>
      </c>
    </row>
    <row r="432" customFormat="false" ht="15" hidden="false" customHeight="false" outlineLevel="0" collapsed="false">
      <c r="A432" s="5" t="s">
        <v>89</v>
      </c>
      <c r="B432" s="5" t="s">
        <v>3506</v>
      </c>
      <c r="C432" s="5" t="s">
        <v>3507</v>
      </c>
      <c r="D432" s="5" t="s">
        <v>3508</v>
      </c>
      <c r="E432" s="5" t="s">
        <v>3155</v>
      </c>
      <c r="F432" s="5" t="s">
        <v>265</v>
      </c>
      <c r="G432" s="5" t="s">
        <v>436</v>
      </c>
      <c r="H432" s="5" t="n">
        <v>3</v>
      </c>
      <c r="I432" s="5" t="s">
        <v>3509</v>
      </c>
      <c r="J432" s="5" t="s">
        <v>3510</v>
      </c>
      <c r="K432" s="5" t="s">
        <v>3511</v>
      </c>
    </row>
    <row r="433" customFormat="false" ht="15" hidden="false" customHeight="false" outlineLevel="0" collapsed="false">
      <c r="A433" s="5" t="s">
        <v>101</v>
      </c>
      <c r="B433" s="5" t="s">
        <v>1590</v>
      </c>
      <c r="C433" s="5" t="s">
        <v>3512</v>
      </c>
      <c r="D433" s="5" t="s">
        <v>3513</v>
      </c>
      <c r="E433" s="5" t="s">
        <v>3155</v>
      </c>
      <c r="F433" s="5" t="s">
        <v>265</v>
      </c>
      <c r="G433" s="5" t="s">
        <v>775</v>
      </c>
      <c r="H433" s="5" t="n">
        <v>2</v>
      </c>
      <c r="I433" s="5" t="s">
        <v>1709</v>
      </c>
      <c r="J433" s="5" t="s">
        <v>1591</v>
      </c>
      <c r="K433" s="5" t="s">
        <v>1592</v>
      </c>
    </row>
    <row r="434" customFormat="false" ht="15" hidden="false" customHeight="false" outlineLevel="0" collapsed="false">
      <c r="A434" s="5" t="s">
        <v>72</v>
      </c>
      <c r="B434" s="5" t="s">
        <v>3514</v>
      </c>
      <c r="C434" s="5" t="s">
        <v>3515</v>
      </c>
      <c r="D434" s="5" t="s">
        <v>3516</v>
      </c>
      <c r="E434" s="5" t="s">
        <v>3155</v>
      </c>
      <c r="F434" s="5" t="s">
        <v>265</v>
      </c>
      <c r="G434" s="5" t="s">
        <v>2916</v>
      </c>
      <c r="H434" s="5" t="n">
        <v>5</v>
      </c>
      <c r="I434" s="5" t="s">
        <v>3509</v>
      </c>
      <c r="J434" s="5" t="s">
        <v>3517</v>
      </c>
      <c r="K434" s="5" t="s">
        <v>3518</v>
      </c>
    </row>
    <row r="435" customFormat="false" ht="15" hidden="false" customHeight="false" outlineLevel="0" collapsed="false">
      <c r="A435" s="5" t="s">
        <v>54</v>
      </c>
      <c r="B435" s="5" t="s">
        <v>3519</v>
      </c>
      <c r="C435" s="5" t="s">
        <v>3520</v>
      </c>
      <c r="D435" s="5" t="s">
        <v>3521</v>
      </c>
      <c r="E435" s="5" t="s">
        <v>3155</v>
      </c>
      <c r="F435" s="5" t="s">
        <v>265</v>
      </c>
      <c r="G435" s="5" t="s">
        <v>345</v>
      </c>
      <c r="H435" s="5" t="n">
        <v>2</v>
      </c>
      <c r="I435" s="5" t="s">
        <v>1709</v>
      </c>
      <c r="J435" s="5" t="s">
        <v>3522</v>
      </c>
      <c r="K435" s="5" t="s">
        <v>3523</v>
      </c>
    </row>
    <row r="436" customFormat="false" ht="15" hidden="false" customHeight="false" outlineLevel="0" collapsed="false">
      <c r="A436" s="5" t="s">
        <v>40</v>
      </c>
      <c r="B436" s="5" t="s">
        <v>3524</v>
      </c>
      <c r="C436" s="5" t="s">
        <v>3525</v>
      </c>
      <c r="D436" s="5" t="s">
        <v>3526</v>
      </c>
      <c r="E436" s="5" t="s">
        <v>3155</v>
      </c>
      <c r="F436" s="5" t="s">
        <v>265</v>
      </c>
      <c r="G436" s="5" t="s">
        <v>345</v>
      </c>
      <c r="H436" s="5" t="n">
        <v>6</v>
      </c>
      <c r="I436" s="5" t="s">
        <v>1652</v>
      </c>
      <c r="J436" s="5" t="s">
        <v>3527</v>
      </c>
      <c r="K436" s="5" t="s">
        <v>3528</v>
      </c>
    </row>
    <row r="437" customFormat="false" ht="15" hidden="false" customHeight="false" outlineLevel="0" collapsed="false">
      <c r="A437" s="5" t="s">
        <v>89</v>
      </c>
      <c r="B437" s="5" t="s">
        <v>1404</v>
      </c>
      <c r="C437" s="5" t="s">
        <v>3529</v>
      </c>
      <c r="D437" s="5" t="s">
        <v>3530</v>
      </c>
      <c r="E437" s="5" t="s">
        <v>3155</v>
      </c>
      <c r="F437" s="5" t="s">
        <v>265</v>
      </c>
      <c r="G437" s="5" t="s">
        <v>345</v>
      </c>
      <c r="H437" s="5" t="n">
        <v>2</v>
      </c>
      <c r="I437" s="5" t="s">
        <v>1652</v>
      </c>
      <c r="J437" s="5" t="s">
        <v>1405</v>
      </c>
      <c r="K437" s="5" t="s">
        <v>1406</v>
      </c>
    </row>
    <row r="438" customFormat="false" ht="15" hidden="false" customHeight="false" outlineLevel="0" collapsed="false">
      <c r="A438" s="5" t="s">
        <v>47</v>
      </c>
      <c r="B438" s="5" t="s">
        <v>3531</v>
      </c>
      <c r="C438" s="5" t="s">
        <v>3532</v>
      </c>
      <c r="D438" s="5" t="s">
        <v>3533</v>
      </c>
      <c r="E438" s="5" t="s">
        <v>3155</v>
      </c>
      <c r="F438" s="5" t="s">
        <v>265</v>
      </c>
      <c r="G438" s="5" t="s">
        <v>345</v>
      </c>
      <c r="H438" s="5" t="n">
        <v>3</v>
      </c>
      <c r="I438" s="5" t="s">
        <v>1898</v>
      </c>
      <c r="J438" s="5" t="s">
        <v>3534</v>
      </c>
      <c r="K438" s="5" t="s">
        <v>3535</v>
      </c>
    </row>
    <row r="439" customFormat="false" ht="15" hidden="false" customHeight="false" outlineLevel="0" collapsed="false">
      <c r="A439" s="5" t="s">
        <v>98</v>
      </c>
      <c r="B439" s="5" t="s">
        <v>3536</v>
      </c>
      <c r="C439" s="5" t="s">
        <v>3537</v>
      </c>
      <c r="D439" s="5" t="s">
        <v>3538</v>
      </c>
      <c r="E439" s="5" t="s">
        <v>3155</v>
      </c>
      <c r="F439" s="5" t="s">
        <v>265</v>
      </c>
      <c r="G439" s="5" t="s">
        <v>3539</v>
      </c>
      <c r="H439" s="5" t="n">
        <v>3</v>
      </c>
      <c r="I439" s="5" t="s">
        <v>1635</v>
      </c>
      <c r="J439" s="5" t="s">
        <v>3540</v>
      </c>
      <c r="K439" s="5" t="s">
        <v>3541</v>
      </c>
    </row>
    <row r="440" customFormat="false" ht="15" hidden="false" customHeight="false" outlineLevel="0" collapsed="false">
      <c r="A440" s="5" t="s">
        <v>76</v>
      </c>
      <c r="B440" s="5" t="s">
        <v>1177</v>
      </c>
      <c r="C440" s="5" t="s">
        <v>3542</v>
      </c>
      <c r="D440" s="5" t="s">
        <v>3543</v>
      </c>
      <c r="E440" s="5" t="s">
        <v>3155</v>
      </c>
      <c r="F440" s="5" t="s">
        <v>104</v>
      </c>
      <c r="G440" s="5" t="s">
        <v>690</v>
      </c>
      <c r="H440" s="5" t="n">
        <v>4</v>
      </c>
      <c r="I440" s="5" t="s">
        <v>1656</v>
      </c>
      <c r="J440" s="5" t="s">
        <v>1178</v>
      </c>
      <c r="K440" s="5" t="s">
        <v>1179</v>
      </c>
    </row>
    <row r="441" customFormat="false" ht="15" hidden="false" customHeight="false" outlineLevel="0" collapsed="false">
      <c r="A441" s="5" t="s">
        <v>54</v>
      </c>
      <c r="B441" s="5" t="s">
        <v>3544</v>
      </c>
      <c r="C441" s="5" t="s">
        <v>3545</v>
      </c>
      <c r="D441" s="5" t="s">
        <v>3546</v>
      </c>
      <c r="E441" s="5" t="s">
        <v>3155</v>
      </c>
      <c r="F441" s="5" t="s">
        <v>104</v>
      </c>
      <c r="G441" s="5" t="s">
        <v>735</v>
      </c>
      <c r="H441" s="5" t="n">
        <v>1</v>
      </c>
      <c r="I441" s="5" t="s">
        <v>1629</v>
      </c>
      <c r="J441" s="5" t="s">
        <v>3547</v>
      </c>
      <c r="K441" s="5" t="s">
        <v>3548</v>
      </c>
    </row>
    <row r="442" customFormat="false" ht="15" hidden="false" customHeight="false" outlineLevel="0" collapsed="false">
      <c r="A442" s="5" t="s">
        <v>51</v>
      </c>
      <c r="B442" s="5" t="s">
        <v>3549</v>
      </c>
      <c r="C442" s="5" t="s">
        <v>3550</v>
      </c>
      <c r="D442" s="5" t="s">
        <v>3551</v>
      </c>
      <c r="E442" s="5" t="s">
        <v>3155</v>
      </c>
      <c r="F442" s="5" t="s">
        <v>265</v>
      </c>
      <c r="G442" s="5" t="s">
        <v>345</v>
      </c>
      <c r="H442" s="5" t="n">
        <v>7</v>
      </c>
      <c r="I442" s="5" t="s">
        <v>1709</v>
      </c>
      <c r="J442" s="5" t="s">
        <v>3552</v>
      </c>
      <c r="K442" s="5" t="s">
        <v>3553</v>
      </c>
    </row>
    <row r="443" customFormat="false" ht="15" hidden="false" customHeight="false" outlineLevel="0" collapsed="false">
      <c r="A443" s="5" t="s">
        <v>75</v>
      </c>
      <c r="B443" s="5" t="s">
        <v>3554</v>
      </c>
      <c r="C443" s="5" t="s">
        <v>3555</v>
      </c>
      <c r="D443" s="5" t="s">
        <v>3556</v>
      </c>
      <c r="E443" s="5" t="s">
        <v>3155</v>
      </c>
      <c r="F443" s="5" t="s">
        <v>265</v>
      </c>
      <c r="G443" s="5" t="s">
        <v>345</v>
      </c>
      <c r="H443" s="5" t="n">
        <v>2</v>
      </c>
      <c r="I443" s="5" t="s">
        <v>1664</v>
      </c>
      <c r="J443" s="5" t="s">
        <v>3557</v>
      </c>
      <c r="K443" s="5" t="s">
        <v>3558</v>
      </c>
    </row>
    <row r="444" customFormat="false" ht="15" hidden="false" customHeight="false" outlineLevel="0" collapsed="false">
      <c r="A444" s="5" t="s">
        <v>47</v>
      </c>
      <c r="B444" s="5" t="s">
        <v>3559</v>
      </c>
      <c r="C444" s="5" t="s">
        <v>3560</v>
      </c>
      <c r="D444" s="5" t="s">
        <v>3561</v>
      </c>
      <c r="E444" s="5" t="s">
        <v>3155</v>
      </c>
      <c r="F444" s="5" t="s">
        <v>265</v>
      </c>
      <c r="G444" s="5" t="s">
        <v>345</v>
      </c>
      <c r="H444" s="5" t="n">
        <v>1</v>
      </c>
      <c r="I444" s="5" t="s">
        <v>1670</v>
      </c>
      <c r="J444" s="5" t="s">
        <v>3562</v>
      </c>
      <c r="K444" s="5" t="s">
        <v>3563</v>
      </c>
    </row>
    <row r="445" customFormat="false" ht="15" hidden="false" customHeight="false" outlineLevel="0" collapsed="false">
      <c r="A445" s="5" t="s">
        <v>51</v>
      </c>
      <c r="B445" s="5" t="s">
        <v>3564</v>
      </c>
      <c r="C445" s="5" t="s">
        <v>3565</v>
      </c>
      <c r="D445" s="5" t="s">
        <v>3566</v>
      </c>
      <c r="E445" s="5" t="s">
        <v>3155</v>
      </c>
      <c r="F445" s="5" t="s">
        <v>104</v>
      </c>
      <c r="G445" s="5" t="s">
        <v>3567</v>
      </c>
      <c r="H445" s="5" t="n">
        <v>2</v>
      </c>
      <c r="I445" s="5" t="s">
        <v>1635</v>
      </c>
      <c r="J445" s="5" t="s">
        <v>3568</v>
      </c>
      <c r="K445" s="5" t="s">
        <v>3569</v>
      </c>
    </row>
    <row r="446" customFormat="false" ht="15" hidden="false" customHeight="false" outlineLevel="0" collapsed="false">
      <c r="A446" s="5" t="s">
        <v>69</v>
      </c>
      <c r="B446" s="5" t="s">
        <v>1032</v>
      </c>
      <c r="C446" s="5" t="s">
        <v>3570</v>
      </c>
      <c r="D446" s="5" t="s">
        <v>3571</v>
      </c>
      <c r="E446" s="5" t="s">
        <v>3155</v>
      </c>
      <c r="F446" s="5" t="s">
        <v>265</v>
      </c>
      <c r="G446" s="5" t="s">
        <v>345</v>
      </c>
      <c r="H446" s="5" t="n">
        <v>3</v>
      </c>
      <c r="I446" s="5" t="s">
        <v>1664</v>
      </c>
      <c r="J446" s="5" t="s">
        <v>1033</v>
      </c>
      <c r="K446" s="5" t="s">
        <v>1034</v>
      </c>
    </row>
    <row r="447" customFormat="false" ht="15" hidden="false" customHeight="false" outlineLevel="0" collapsed="false">
      <c r="A447" s="5" t="s">
        <v>63</v>
      </c>
      <c r="B447" s="5" t="s">
        <v>3572</v>
      </c>
      <c r="C447" s="5" t="s">
        <v>3573</v>
      </c>
      <c r="D447" s="5" t="s">
        <v>3574</v>
      </c>
      <c r="E447" s="5" t="s">
        <v>3155</v>
      </c>
      <c r="F447" s="5" t="s">
        <v>265</v>
      </c>
      <c r="G447" s="5" t="s">
        <v>345</v>
      </c>
      <c r="H447" s="5" t="n">
        <v>1</v>
      </c>
      <c r="I447" s="5" t="s">
        <v>1656</v>
      </c>
      <c r="J447" s="5" t="s">
        <v>3575</v>
      </c>
      <c r="K447" s="5" t="s">
        <v>3576</v>
      </c>
    </row>
    <row r="448" customFormat="false" ht="15" hidden="false" customHeight="false" outlineLevel="0" collapsed="false">
      <c r="A448" s="5" t="s">
        <v>69</v>
      </c>
      <c r="B448" s="5" t="s">
        <v>3577</v>
      </c>
      <c r="C448" s="5" t="s">
        <v>3578</v>
      </c>
      <c r="D448" s="5" t="s">
        <v>3579</v>
      </c>
      <c r="E448" s="5" t="s">
        <v>3155</v>
      </c>
      <c r="F448" s="5" t="s">
        <v>265</v>
      </c>
      <c r="G448" s="5" t="s">
        <v>345</v>
      </c>
      <c r="H448" s="5" t="n">
        <v>3</v>
      </c>
      <c r="I448" s="5" t="s">
        <v>1664</v>
      </c>
      <c r="J448" s="5" t="s">
        <v>3580</v>
      </c>
      <c r="K448" s="5" t="s">
        <v>3581</v>
      </c>
    </row>
    <row r="449" customFormat="false" ht="15" hidden="false" customHeight="false" outlineLevel="0" collapsed="false">
      <c r="A449" s="5" t="s">
        <v>47</v>
      </c>
      <c r="B449" s="5" t="s">
        <v>596</v>
      </c>
      <c r="C449" s="5" t="s">
        <v>3582</v>
      </c>
      <c r="D449" s="5" t="s">
        <v>3583</v>
      </c>
      <c r="E449" s="5" t="s">
        <v>3155</v>
      </c>
      <c r="F449" s="5" t="s">
        <v>265</v>
      </c>
      <c r="G449" s="5" t="s">
        <v>597</v>
      </c>
      <c r="H449" s="5" t="n">
        <v>4</v>
      </c>
      <c r="I449" s="5" t="s">
        <v>3584</v>
      </c>
      <c r="J449" s="5" t="s">
        <v>598</v>
      </c>
      <c r="K449" s="5" t="s">
        <v>599</v>
      </c>
    </row>
    <row r="450" customFormat="false" ht="15" hidden="false" customHeight="false" outlineLevel="0" collapsed="false">
      <c r="A450" s="5" t="s">
        <v>86</v>
      </c>
      <c r="B450" s="5" t="s">
        <v>1337</v>
      </c>
      <c r="C450" s="5" t="s">
        <v>3585</v>
      </c>
      <c r="D450" s="5" t="s">
        <v>3586</v>
      </c>
      <c r="E450" s="5" t="s">
        <v>3155</v>
      </c>
      <c r="F450" s="5" t="s">
        <v>265</v>
      </c>
      <c r="G450" s="5" t="s">
        <v>345</v>
      </c>
      <c r="H450" s="5" t="n">
        <v>2</v>
      </c>
      <c r="I450" s="5" t="s">
        <v>2248</v>
      </c>
      <c r="J450" s="5" t="s">
        <v>1338</v>
      </c>
      <c r="K450" s="5" t="s">
        <v>1339</v>
      </c>
    </row>
    <row r="451" customFormat="false" ht="15" hidden="false" customHeight="false" outlineLevel="0" collapsed="false">
      <c r="A451" s="5" t="s">
        <v>54</v>
      </c>
      <c r="B451" s="5" t="s">
        <v>3587</v>
      </c>
      <c r="C451" s="5" t="s">
        <v>3588</v>
      </c>
      <c r="D451" s="5" t="s">
        <v>3589</v>
      </c>
      <c r="E451" s="5" t="s">
        <v>3155</v>
      </c>
      <c r="F451" s="5" t="s">
        <v>265</v>
      </c>
      <c r="G451" s="5" t="s">
        <v>345</v>
      </c>
      <c r="H451" s="5" t="n">
        <v>7</v>
      </c>
      <c r="I451" s="5" t="s">
        <v>1629</v>
      </c>
      <c r="J451" s="5" t="s">
        <v>3590</v>
      </c>
      <c r="K451" s="5" t="s">
        <v>3591</v>
      </c>
    </row>
    <row r="452" customFormat="false" ht="15" hidden="false" customHeight="false" outlineLevel="0" collapsed="false">
      <c r="A452" s="5" t="s">
        <v>95</v>
      </c>
      <c r="B452" s="5" t="s">
        <v>3592</v>
      </c>
      <c r="C452" s="5" t="s">
        <v>3593</v>
      </c>
      <c r="D452" s="5"/>
      <c r="E452" s="5" t="s">
        <v>3155</v>
      </c>
      <c r="F452" s="5" t="s">
        <v>265</v>
      </c>
      <c r="G452" s="5" t="s">
        <v>345</v>
      </c>
      <c r="H452" s="5" t="n">
        <v>5</v>
      </c>
      <c r="I452" s="5" t="s">
        <v>1709</v>
      </c>
      <c r="J452" s="5" t="s">
        <v>3594</v>
      </c>
      <c r="K452" s="5" t="s">
        <v>3595</v>
      </c>
    </row>
    <row r="453" customFormat="false" ht="15" hidden="false" customHeight="false" outlineLevel="0" collapsed="false">
      <c r="A453" s="5" t="s">
        <v>89</v>
      </c>
      <c r="B453" s="5" t="s">
        <v>3596</v>
      </c>
      <c r="C453" s="5" t="s">
        <v>3597</v>
      </c>
      <c r="D453" s="5" t="s">
        <v>3598</v>
      </c>
      <c r="E453" s="5" t="s">
        <v>3155</v>
      </c>
      <c r="F453" s="5" t="s">
        <v>265</v>
      </c>
      <c r="G453" s="5" t="s">
        <v>436</v>
      </c>
      <c r="H453" s="5" t="n">
        <v>3</v>
      </c>
      <c r="I453" s="5" t="s">
        <v>2467</v>
      </c>
      <c r="J453" s="5" t="s">
        <v>3599</v>
      </c>
      <c r="K453" s="5" t="s">
        <v>3600</v>
      </c>
    </row>
    <row r="454" customFormat="false" ht="15" hidden="false" customHeight="false" outlineLevel="0" collapsed="false">
      <c r="A454" s="5" t="s">
        <v>69</v>
      </c>
      <c r="B454" s="5" t="s">
        <v>3601</v>
      </c>
      <c r="C454" s="5" t="s">
        <v>3602</v>
      </c>
      <c r="D454" s="5" t="s">
        <v>3603</v>
      </c>
      <c r="E454" s="5" t="s">
        <v>3155</v>
      </c>
      <c r="F454" s="5" t="s">
        <v>265</v>
      </c>
      <c r="G454" s="5" t="s">
        <v>345</v>
      </c>
      <c r="H454" s="5" t="n">
        <v>1</v>
      </c>
      <c r="I454" s="5" t="s">
        <v>1709</v>
      </c>
      <c r="J454" s="5" t="s">
        <v>3604</v>
      </c>
      <c r="K454" s="5" t="s">
        <v>3605</v>
      </c>
    </row>
    <row r="455" customFormat="false" ht="15" hidden="false" customHeight="false" outlineLevel="0" collapsed="false">
      <c r="A455" s="5" t="s">
        <v>51</v>
      </c>
      <c r="B455" s="5" t="s">
        <v>3606</v>
      </c>
      <c r="C455" s="5" t="s">
        <v>3607</v>
      </c>
      <c r="D455" s="5" t="s">
        <v>3608</v>
      </c>
      <c r="E455" s="5" t="s">
        <v>3155</v>
      </c>
      <c r="F455" s="5" t="s">
        <v>265</v>
      </c>
      <c r="G455" s="5" t="s">
        <v>345</v>
      </c>
      <c r="H455" s="5" t="n">
        <v>4</v>
      </c>
      <c r="I455" s="5" t="s">
        <v>1656</v>
      </c>
      <c r="J455" s="5" t="s">
        <v>3609</v>
      </c>
      <c r="K455" s="5" t="s">
        <v>3610</v>
      </c>
    </row>
    <row r="456" customFormat="false" ht="15" hidden="false" customHeight="false" outlineLevel="0" collapsed="false">
      <c r="A456" s="5" t="s">
        <v>51</v>
      </c>
      <c r="B456" s="5" t="s">
        <v>3611</v>
      </c>
      <c r="C456" s="5" t="s">
        <v>3612</v>
      </c>
      <c r="D456" s="5" t="s">
        <v>3613</v>
      </c>
      <c r="E456" s="5" t="s">
        <v>3155</v>
      </c>
      <c r="F456" s="5" t="s">
        <v>265</v>
      </c>
      <c r="G456" s="5" t="s">
        <v>345</v>
      </c>
      <c r="H456" s="5" t="n">
        <v>8</v>
      </c>
      <c r="I456" s="5" t="s">
        <v>1656</v>
      </c>
      <c r="J456" s="5" t="s">
        <v>3614</v>
      </c>
      <c r="K456" s="5" t="s">
        <v>3615</v>
      </c>
    </row>
    <row r="457" customFormat="false" ht="15" hidden="false" customHeight="false" outlineLevel="0" collapsed="false">
      <c r="A457" s="5" t="s">
        <v>76</v>
      </c>
      <c r="B457" s="5" t="s">
        <v>3616</v>
      </c>
      <c r="C457" s="5" t="s">
        <v>3617</v>
      </c>
      <c r="D457" s="5" t="s">
        <v>3618</v>
      </c>
      <c r="E457" s="5" t="s">
        <v>3155</v>
      </c>
      <c r="F457" s="5" t="s">
        <v>265</v>
      </c>
      <c r="G457" s="5" t="s">
        <v>345</v>
      </c>
      <c r="H457" s="5" t="n">
        <v>3</v>
      </c>
      <c r="I457" s="5" t="s">
        <v>1656</v>
      </c>
      <c r="J457" s="5" t="s">
        <v>3619</v>
      </c>
      <c r="K457" s="5" t="s">
        <v>3620</v>
      </c>
    </row>
    <row r="458" customFormat="false" ht="15" hidden="false" customHeight="false" outlineLevel="0" collapsed="false">
      <c r="A458" s="5" t="s">
        <v>89</v>
      </c>
      <c r="B458" s="5" t="s">
        <v>1408</v>
      </c>
      <c r="C458" s="5" t="s">
        <v>3621</v>
      </c>
      <c r="D458" s="5" t="s">
        <v>3622</v>
      </c>
      <c r="E458" s="5" t="s">
        <v>3155</v>
      </c>
      <c r="F458" s="5" t="s">
        <v>265</v>
      </c>
      <c r="G458" s="5" t="s">
        <v>436</v>
      </c>
      <c r="H458" s="5" t="n">
        <v>3</v>
      </c>
      <c r="I458" s="5" t="s">
        <v>1847</v>
      </c>
      <c r="J458" s="5" t="s">
        <v>1409</v>
      </c>
      <c r="K458" s="5" t="s">
        <v>1410</v>
      </c>
    </row>
    <row r="459" customFormat="false" ht="15" hidden="false" customHeight="false" outlineLevel="0" collapsed="false">
      <c r="A459" s="5" t="s">
        <v>51</v>
      </c>
      <c r="B459" s="5" t="s">
        <v>3623</v>
      </c>
      <c r="C459" s="5" t="s">
        <v>3624</v>
      </c>
      <c r="D459" s="5" t="s">
        <v>3625</v>
      </c>
      <c r="E459" s="5" t="s">
        <v>3155</v>
      </c>
      <c r="F459" s="5" t="s">
        <v>104</v>
      </c>
      <c r="G459" s="5" t="s">
        <v>3626</v>
      </c>
      <c r="H459" s="5" t="n">
        <v>2</v>
      </c>
      <c r="I459" s="5" t="s">
        <v>1971</v>
      </c>
      <c r="J459" s="5" t="s">
        <v>3627</v>
      </c>
      <c r="K459" s="5" t="s">
        <v>3628</v>
      </c>
    </row>
    <row r="460" customFormat="false" ht="15" hidden="false" customHeight="false" outlineLevel="0" collapsed="false">
      <c r="A460" s="5" t="s">
        <v>89</v>
      </c>
      <c r="B460" s="5" t="s">
        <v>3629</v>
      </c>
      <c r="C460" s="5" t="s">
        <v>3630</v>
      </c>
      <c r="D460" s="5" t="s">
        <v>3631</v>
      </c>
      <c r="E460" s="5" t="s">
        <v>3155</v>
      </c>
      <c r="F460" s="5" t="s">
        <v>265</v>
      </c>
      <c r="G460" s="5" t="s">
        <v>345</v>
      </c>
      <c r="H460" s="5" t="n">
        <v>2</v>
      </c>
      <c r="I460" s="5" t="s">
        <v>1652</v>
      </c>
      <c r="J460" s="5" t="s">
        <v>3632</v>
      </c>
      <c r="K460" s="5" t="s">
        <v>3633</v>
      </c>
    </row>
    <row r="461" customFormat="false" ht="15" hidden="false" customHeight="false" outlineLevel="0" collapsed="false">
      <c r="A461" s="5" t="s">
        <v>46</v>
      </c>
      <c r="B461" s="5" t="s">
        <v>3634</v>
      </c>
      <c r="C461" s="5" t="s">
        <v>3635</v>
      </c>
      <c r="D461" s="5" t="s">
        <v>3636</v>
      </c>
      <c r="E461" s="5" t="s">
        <v>3155</v>
      </c>
      <c r="F461" s="5" t="s">
        <v>265</v>
      </c>
      <c r="G461" s="5" t="s">
        <v>436</v>
      </c>
      <c r="H461" s="5" t="n">
        <v>3</v>
      </c>
      <c r="I461" s="5" t="s">
        <v>1709</v>
      </c>
      <c r="J461" s="5" t="s">
        <v>3637</v>
      </c>
      <c r="K461" s="5" t="s">
        <v>3638</v>
      </c>
    </row>
    <row r="462" customFormat="false" ht="15" hidden="false" customHeight="false" outlineLevel="0" collapsed="false">
      <c r="A462" s="5" t="s">
        <v>95</v>
      </c>
      <c r="B462" s="5" t="s">
        <v>3639</v>
      </c>
      <c r="C462" s="5" t="s">
        <v>3640</v>
      </c>
      <c r="D462" s="5" t="s">
        <v>3641</v>
      </c>
      <c r="E462" s="5" t="s">
        <v>3155</v>
      </c>
      <c r="F462" s="5" t="s">
        <v>265</v>
      </c>
      <c r="G462" s="5" t="s">
        <v>345</v>
      </c>
      <c r="H462" s="5" t="n">
        <v>3</v>
      </c>
      <c r="I462" s="5" t="s">
        <v>1635</v>
      </c>
      <c r="J462" s="5" t="s">
        <v>3642</v>
      </c>
      <c r="K462" s="5" t="s">
        <v>3643</v>
      </c>
    </row>
    <row r="463" customFormat="false" ht="15" hidden="false" customHeight="false" outlineLevel="0" collapsed="false">
      <c r="A463" s="5" t="s">
        <v>69</v>
      </c>
      <c r="B463" s="5" t="s">
        <v>3644</v>
      </c>
      <c r="C463" s="5" t="s">
        <v>3645</v>
      </c>
      <c r="D463" s="5" t="s">
        <v>3646</v>
      </c>
      <c r="E463" s="5" t="s">
        <v>3155</v>
      </c>
      <c r="F463" s="5" t="s">
        <v>104</v>
      </c>
      <c r="G463" s="5" t="s">
        <v>735</v>
      </c>
      <c r="H463" s="5" t="n">
        <v>4</v>
      </c>
      <c r="I463" s="5" t="s">
        <v>1800</v>
      </c>
      <c r="J463" s="5" t="s">
        <v>3647</v>
      </c>
      <c r="K463" s="5" t="s">
        <v>3648</v>
      </c>
    </row>
    <row r="464" customFormat="false" ht="15" hidden="false" customHeight="false" outlineLevel="0" collapsed="false">
      <c r="A464" s="5" t="s">
        <v>86</v>
      </c>
      <c r="B464" s="5" t="s">
        <v>3649</v>
      </c>
      <c r="C464" s="5" t="s">
        <v>3650</v>
      </c>
      <c r="D464" s="5" t="s">
        <v>3651</v>
      </c>
      <c r="E464" s="5" t="s">
        <v>3155</v>
      </c>
      <c r="F464" s="5" t="s">
        <v>265</v>
      </c>
      <c r="G464" s="5" t="s">
        <v>345</v>
      </c>
      <c r="H464" s="5" t="n">
        <v>3</v>
      </c>
      <c r="I464" s="5" t="s">
        <v>1647</v>
      </c>
      <c r="J464" s="5" t="s">
        <v>3652</v>
      </c>
      <c r="K464" s="5" t="s">
        <v>3653</v>
      </c>
    </row>
    <row r="465" customFormat="false" ht="15" hidden="false" customHeight="false" outlineLevel="0" collapsed="false">
      <c r="A465" s="5" t="s">
        <v>89</v>
      </c>
      <c r="B465" s="5" t="s">
        <v>3654</v>
      </c>
      <c r="C465" s="5" t="s">
        <v>3655</v>
      </c>
      <c r="D465" s="5" t="s">
        <v>3656</v>
      </c>
      <c r="E465" s="5" t="s">
        <v>3155</v>
      </c>
      <c r="F465" s="5" t="s">
        <v>265</v>
      </c>
      <c r="G465" s="5" t="s">
        <v>345</v>
      </c>
      <c r="H465" s="5" t="n">
        <v>2</v>
      </c>
      <c r="I465" s="5" t="s">
        <v>1664</v>
      </c>
      <c r="J465" s="5" t="s">
        <v>3657</v>
      </c>
      <c r="K465" s="5" t="s">
        <v>3658</v>
      </c>
    </row>
    <row r="466" customFormat="false" ht="15" hidden="false" customHeight="false" outlineLevel="0" collapsed="false">
      <c r="A466" s="5" t="s">
        <v>51</v>
      </c>
      <c r="B466" s="5" t="s">
        <v>689</v>
      </c>
      <c r="C466" s="5" t="s">
        <v>3659</v>
      </c>
      <c r="D466" s="5" t="s">
        <v>3660</v>
      </c>
      <c r="E466" s="5" t="s">
        <v>3155</v>
      </c>
      <c r="F466" s="5" t="s">
        <v>104</v>
      </c>
      <c r="G466" s="5" t="s">
        <v>690</v>
      </c>
      <c r="H466" s="5" t="n">
        <v>3</v>
      </c>
      <c r="I466" s="5" t="s">
        <v>1971</v>
      </c>
      <c r="J466" s="5" t="s">
        <v>691</v>
      </c>
      <c r="K466" s="5" t="s">
        <v>692</v>
      </c>
    </row>
    <row r="467" customFormat="false" ht="15" hidden="false" customHeight="false" outlineLevel="0" collapsed="false">
      <c r="A467" s="5" t="s">
        <v>63</v>
      </c>
      <c r="B467" s="5" t="s">
        <v>3661</v>
      </c>
      <c r="C467" s="5" t="s">
        <v>3662</v>
      </c>
      <c r="D467" s="5" t="s">
        <v>3663</v>
      </c>
      <c r="E467" s="5" t="s">
        <v>3155</v>
      </c>
      <c r="F467" s="5" t="s">
        <v>265</v>
      </c>
      <c r="G467" s="5" t="s">
        <v>3664</v>
      </c>
      <c r="H467" s="5" t="n">
        <v>3</v>
      </c>
      <c r="I467" s="5" t="s">
        <v>1664</v>
      </c>
      <c r="J467" s="5" t="s">
        <v>3665</v>
      </c>
      <c r="K467" s="5" t="s">
        <v>3666</v>
      </c>
    </row>
    <row r="468" customFormat="false" ht="15" hidden="false" customHeight="false" outlineLevel="0" collapsed="false">
      <c r="A468" s="5" t="s">
        <v>98</v>
      </c>
      <c r="B468" s="5" t="s">
        <v>3667</v>
      </c>
      <c r="C468" s="5" t="s">
        <v>3668</v>
      </c>
      <c r="D468" s="5" t="s">
        <v>3669</v>
      </c>
      <c r="E468" s="5" t="s">
        <v>3155</v>
      </c>
      <c r="F468" s="5" t="s">
        <v>265</v>
      </c>
      <c r="G468" s="5" t="s">
        <v>345</v>
      </c>
      <c r="H468" s="5" t="n">
        <v>4</v>
      </c>
      <c r="I468" s="5" t="s">
        <v>1747</v>
      </c>
      <c r="J468" s="5" t="s">
        <v>3670</v>
      </c>
      <c r="K468" s="5" t="s">
        <v>3671</v>
      </c>
    </row>
    <row r="469" customFormat="false" ht="15" hidden="false" customHeight="false" outlineLevel="0" collapsed="false">
      <c r="A469" s="5" t="s">
        <v>83</v>
      </c>
      <c r="B469" s="5" t="s">
        <v>3672</v>
      </c>
      <c r="C469" s="5" t="s">
        <v>3673</v>
      </c>
      <c r="D469" s="5" t="s">
        <v>3674</v>
      </c>
      <c r="E469" s="5" t="s">
        <v>3155</v>
      </c>
      <c r="F469" s="5" t="s">
        <v>265</v>
      </c>
      <c r="G469" s="5" t="s">
        <v>775</v>
      </c>
      <c r="H469" s="5" t="n">
        <v>4</v>
      </c>
      <c r="I469" s="5" t="s">
        <v>2709</v>
      </c>
      <c r="J469" s="5" t="s">
        <v>3675</v>
      </c>
      <c r="K469" s="5" t="s">
        <v>3676</v>
      </c>
    </row>
    <row r="470" customFormat="false" ht="15" hidden="false" customHeight="false" outlineLevel="0" collapsed="false">
      <c r="A470" s="5" t="s">
        <v>86</v>
      </c>
      <c r="B470" s="5" t="s">
        <v>1341</v>
      </c>
      <c r="C470" s="5" t="s">
        <v>3677</v>
      </c>
      <c r="D470" s="5" t="s">
        <v>3678</v>
      </c>
      <c r="E470" s="5" t="s">
        <v>3155</v>
      </c>
      <c r="F470" s="5" t="s">
        <v>104</v>
      </c>
      <c r="G470" s="5" t="s">
        <v>450</v>
      </c>
      <c r="H470" s="5" t="n">
        <v>3</v>
      </c>
      <c r="I470" s="5" t="s">
        <v>1709</v>
      </c>
      <c r="J470" s="5" t="s">
        <v>1342</v>
      </c>
      <c r="K470" s="5" t="s">
        <v>1343</v>
      </c>
    </row>
    <row r="471" customFormat="false" ht="15" hidden="false" customHeight="false" outlineLevel="0" collapsed="false">
      <c r="A471" s="5" t="s">
        <v>40</v>
      </c>
      <c r="B471" s="5" t="s">
        <v>3679</v>
      </c>
      <c r="C471" s="5" t="s">
        <v>3680</v>
      </c>
      <c r="D471" s="5" t="s">
        <v>3681</v>
      </c>
      <c r="E471" s="5" t="s">
        <v>3155</v>
      </c>
      <c r="F471" s="5" t="s">
        <v>265</v>
      </c>
      <c r="G471" s="5" t="s">
        <v>345</v>
      </c>
      <c r="H471" s="5" t="n">
        <v>3</v>
      </c>
      <c r="I471" s="5" t="s">
        <v>2429</v>
      </c>
      <c r="J471" s="5" t="s">
        <v>3682</v>
      </c>
      <c r="K471" s="5" t="s">
        <v>3683</v>
      </c>
    </row>
    <row r="472" customFormat="false" ht="15" hidden="false" customHeight="false" outlineLevel="0" collapsed="false">
      <c r="A472" s="5" t="s">
        <v>43</v>
      </c>
      <c r="B472" s="5" t="s">
        <v>2061</v>
      </c>
      <c r="C472" s="5" t="s">
        <v>3684</v>
      </c>
      <c r="D472" s="5" t="s">
        <v>3685</v>
      </c>
      <c r="E472" s="5" t="s">
        <v>3155</v>
      </c>
      <c r="F472" s="5" t="s">
        <v>265</v>
      </c>
      <c r="G472" s="5" t="s">
        <v>345</v>
      </c>
      <c r="H472" s="5" t="n">
        <v>2</v>
      </c>
      <c r="I472" s="5" t="s">
        <v>1709</v>
      </c>
      <c r="J472" s="5" t="s">
        <v>3686</v>
      </c>
      <c r="K472" s="5" t="s">
        <v>3687</v>
      </c>
    </row>
    <row r="473" customFormat="false" ht="15" hidden="false" customHeight="false" outlineLevel="0" collapsed="false">
      <c r="A473" s="5" t="s">
        <v>43</v>
      </c>
      <c r="B473" s="5" t="s">
        <v>3688</v>
      </c>
      <c r="C473" s="5" t="s">
        <v>3689</v>
      </c>
      <c r="D473" s="5" t="s">
        <v>3690</v>
      </c>
      <c r="E473" s="5" t="s">
        <v>3155</v>
      </c>
      <c r="F473" s="5" t="s">
        <v>265</v>
      </c>
      <c r="G473" s="5" t="s">
        <v>345</v>
      </c>
      <c r="H473" s="5"/>
      <c r="I473" s="5" t="s">
        <v>1629</v>
      </c>
      <c r="J473" s="5" t="s">
        <v>3691</v>
      </c>
      <c r="K473" s="5" t="s">
        <v>3692</v>
      </c>
    </row>
    <row r="474" customFormat="false" ht="15" hidden="false" customHeight="false" outlineLevel="0" collapsed="false">
      <c r="A474" s="5" t="s">
        <v>51</v>
      </c>
      <c r="B474" s="5" t="s">
        <v>3693</v>
      </c>
      <c r="C474" s="5" t="s">
        <v>3694</v>
      </c>
      <c r="D474" s="5" t="s">
        <v>3695</v>
      </c>
      <c r="E474" s="5" t="s">
        <v>3155</v>
      </c>
      <c r="F474" s="5" t="s">
        <v>265</v>
      </c>
      <c r="G474" s="5" t="s">
        <v>345</v>
      </c>
      <c r="H474" s="5" t="n">
        <v>1</v>
      </c>
      <c r="I474" s="5" t="s">
        <v>1747</v>
      </c>
      <c r="J474" s="5" t="s">
        <v>3696</v>
      </c>
      <c r="K474" s="5" t="s">
        <v>3697</v>
      </c>
    </row>
    <row r="475" customFormat="false" ht="15" hidden="false" customHeight="false" outlineLevel="0" collapsed="false">
      <c r="A475" s="5" t="s">
        <v>80</v>
      </c>
      <c r="B475" s="5" t="s">
        <v>3698</v>
      </c>
      <c r="C475" s="5" t="s">
        <v>80</v>
      </c>
      <c r="D475" s="5" t="s">
        <v>3699</v>
      </c>
      <c r="E475" s="5" t="s">
        <v>3155</v>
      </c>
      <c r="F475" s="5" t="s">
        <v>265</v>
      </c>
      <c r="G475" s="5" t="s">
        <v>345</v>
      </c>
      <c r="H475" s="5" t="n">
        <v>3</v>
      </c>
      <c r="I475" s="5" t="s">
        <v>1647</v>
      </c>
      <c r="J475" s="5" t="s">
        <v>3700</v>
      </c>
      <c r="K475" s="5" t="s">
        <v>3701</v>
      </c>
    </row>
    <row r="476" customFormat="false" ht="15" hidden="false" customHeight="false" outlineLevel="0" collapsed="false">
      <c r="A476" s="5" t="s">
        <v>43</v>
      </c>
      <c r="B476" s="5" t="s">
        <v>3702</v>
      </c>
      <c r="C476" s="5" t="s">
        <v>3703</v>
      </c>
      <c r="D476" s="5" t="s">
        <v>3704</v>
      </c>
      <c r="E476" s="5" t="s">
        <v>3155</v>
      </c>
      <c r="F476" s="5" t="s">
        <v>104</v>
      </c>
      <c r="G476" s="5"/>
      <c r="H476" s="5" t="n">
        <v>4</v>
      </c>
      <c r="I476" s="5" t="s">
        <v>2550</v>
      </c>
      <c r="J476" s="5" t="s">
        <v>3705</v>
      </c>
      <c r="K476" s="5" t="s">
        <v>3706</v>
      </c>
    </row>
    <row r="477" customFormat="false" ht="15" hidden="false" customHeight="false" outlineLevel="0" collapsed="false">
      <c r="A477" s="5" t="s">
        <v>47</v>
      </c>
      <c r="B477" s="5" t="s">
        <v>3707</v>
      </c>
      <c r="C477" s="5" t="s">
        <v>3708</v>
      </c>
      <c r="D477" s="5" t="s">
        <v>3709</v>
      </c>
      <c r="E477" s="5" t="s">
        <v>3155</v>
      </c>
      <c r="F477" s="5" t="s">
        <v>265</v>
      </c>
      <c r="G477" s="5" t="s">
        <v>345</v>
      </c>
      <c r="H477" s="5"/>
      <c r="I477" s="5" t="s">
        <v>2429</v>
      </c>
      <c r="J477" s="5" t="s">
        <v>3710</v>
      </c>
      <c r="K477" s="5" t="s">
        <v>3711</v>
      </c>
    </row>
    <row r="478" customFormat="false" ht="15" hidden="false" customHeight="false" outlineLevel="0" collapsed="false">
      <c r="A478" s="5" t="s">
        <v>54</v>
      </c>
      <c r="B478" s="5" t="s">
        <v>764</v>
      </c>
      <c r="C478" s="5" t="s">
        <v>3712</v>
      </c>
      <c r="D478" s="5"/>
      <c r="E478" s="5" t="s">
        <v>3155</v>
      </c>
      <c r="F478" s="5" t="s">
        <v>265</v>
      </c>
      <c r="G478" s="5" t="s">
        <v>345</v>
      </c>
      <c r="H478" s="5" t="n">
        <v>14</v>
      </c>
      <c r="I478" s="5" t="s">
        <v>1709</v>
      </c>
      <c r="J478" s="5" t="s">
        <v>767</v>
      </c>
      <c r="K478" s="5" t="s">
        <v>3713</v>
      </c>
    </row>
    <row r="479" customFormat="false" ht="15" hidden="false" customHeight="false" outlineLevel="0" collapsed="false">
      <c r="A479" s="5" t="s">
        <v>95</v>
      </c>
      <c r="B479" s="5" t="s">
        <v>3714</v>
      </c>
      <c r="C479" s="5" t="s">
        <v>3715</v>
      </c>
      <c r="D479" s="5" t="s">
        <v>3716</v>
      </c>
      <c r="E479" s="5" t="s">
        <v>3155</v>
      </c>
      <c r="F479" s="5" t="s">
        <v>265</v>
      </c>
      <c r="G479" s="5" t="s">
        <v>436</v>
      </c>
      <c r="H479" s="5" t="n">
        <v>1</v>
      </c>
      <c r="I479" s="5" t="s">
        <v>1829</v>
      </c>
      <c r="J479" s="5" t="s">
        <v>3717</v>
      </c>
      <c r="K479" s="5" t="s">
        <v>3718</v>
      </c>
    </row>
    <row r="480" customFormat="false" ht="15" hidden="false" customHeight="false" outlineLevel="0" collapsed="false">
      <c r="A480" s="5" t="s">
        <v>63</v>
      </c>
      <c r="B480" s="5" t="s">
        <v>3719</v>
      </c>
      <c r="C480" s="5" t="s">
        <v>3720</v>
      </c>
      <c r="D480" s="5" t="s">
        <v>3721</v>
      </c>
      <c r="E480" s="5" t="s">
        <v>3155</v>
      </c>
      <c r="F480" s="5" t="s">
        <v>265</v>
      </c>
      <c r="G480" s="5" t="s">
        <v>345</v>
      </c>
      <c r="H480" s="5" t="n">
        <v>4</v>
      </c>
      <c r="I480" s="5" t="s">
        <v>1656</v>
      </c>
      <c r="J480" s="5" t="s">
        <v>3722</v>
      </c>
      <c r="K480" s="5" t="s">
        <v>3723</v>
      </c>
    </row>
    <row r="481" customFormat="false" ht="15" hidden="false" customHeight="false" outlineLevel="0" collapsed="false">
      <c r="A481" s="5" t="s">
        <v>57</v>
      </c>
      <c r="B481" s="5" t="s">
        <v>809</v>
      </c>
      <c r="C481" s="5" t="s">
        <v>3724</v>
      </c>
      <c r="D481" s="5" t="s">
        <v>3725</v>
      </c>
      <c r="E481" s="5" t="s">
        <v>3155</v>
      </c>
      <c r="F481" s="5" t="s">
        <v>104</v>
      </c>
      <c r="G481" s="5" t="s">
        <v>445</v>
      </c>
      <c r="H481" s="5" t="n">
        <v>3</v>
      </c>
      <c r="I481" s="5" t="s">
        <v>2831</v>
      </c>
      <c r="J481" s="5" t="s">
        <v>810</v>
      </c>
      <c r="K481" s="5" t="s">
        <v>811</v>
      </c>
    </row>
    <row r="482" customFormat="false" ht="15" hidden="false" customHeight="false" outlineLevel="0" collapsed="false">
      <c r="A482" s="5" t="s">
        <v>98</v>
      </c>
      <c r="B482" s="5" t="s">
        <v>3726</v>
      </c>
      <c r="C482" s="5" t="s">
        <v>3727</v>
      </c>
      <c r="D482" s="5" t="s">
        <v>3728</v>
      </c>
      <c r="E482" s="5" t="s">
        <v>3155</v>
      </c>
      <c r="F482" s="5" t="s">
        <v>265</v>
      </c>
      <c r="G482" s="5" t="s">
        <v>345</v>
      </c>
      <c r="H482" s="5" t="n">
        <v>8</v>
      </c>
      <c r="I482" s="5" t="s">
        <v>1656</v>
      </c>
      <c r="J482" s="5" t="s">
        <v>3729</v>
      </c>
      <c r="K482" s="5" t="s">
        <v>3730</v>
      </c>
    </row>
    <row r="483" customFormat="false" ht="15" hidden="false" customHeight="false" outlineLevel="0" collapsed="false">
      <c r="A483" s="5" t="s">
        <v>86</v>
      </c>
      <c r="B483" s="5" t="s">
        <v>3731</v>
      </c>
      <c r="C483" s="5" t="s">
        <v>3732</v>
      </c>
      <c r="D483" s="5" t="s">
        <v>3733</v>
      </c>
      <c r="E483" s="5" t="s">
        <v>3155</v>
      </c>
      <c r="F483" s="5" t="s">
        <v>265</v>
      </c>
      <c r="G483" s="5" t="s">
        <v>345</v>
      </c>
      <c r="H483" s="5" t="n">
        <v>2</v>
      </c>
      <c r="I483" s="5" t="s">
        <v>1647</v>
      </c>
      <c r="J483" s="5" t="s">
        <v>3734</v>
      </c>
      <c r="K483" s="5" t="s">
        <v>3735</v>
      </c>
    </row>
    <row r="484" customFormat="false" ht="15" hidden="false" customHeight="false" outlineLevel="0" collapsed="false">
      <c r="A484" s="5" t="s">
        <v>54</v>
      </c>
      <c r="B484" s="5" t="s">
        <v>3736</v>
      </c>
      <c r="C484" s="5" t="s">
        <v>3737</v>
      </c>
      <c r="D484" s="5" t="s">
        <v>3738</v>
      </c>
      <c r="E484" s="5" t="s">
        <v>3155</v>
      </c>
      <c r="F484" s="5" t="s">
        <v>265</v>
      </c>
      <c r="G484" s="5" t="s">
        <v>345</v>
      </c>
      <c r="H484" s="5" t="n">
        <v>5</v>
      </c>
      <c r="I484" s="5" t="s">
        <v>1629</v>
      </c>
      <c r="J484" s="5" t="s">
        <v>3739</v>
      </c>
      <c r="K484" s="5" t="s">
        <v>3740</v>
      </c>
    </row>
    <row r="485" customFormat="false" ht="15" hidden="false" customHeight="false" outlineLevel="0" collapsed="false">
      <c r="A485" s="5" t="s">
        <v>66</v>
      </c>
      <c r="B485" s="5" t="s">
        <v>3741</v>
      </c>
      <c r="C485" s="5" t="s">
        <v>3742</v>
      </c>
      <c r="D485" s="5" t="s">
        <v>3743</v>
      </c>
      <c r="E485" s="5" t="s">
        <v>3155</v>
      </c>
      <c r="F485" s="5" t="s">
        <v>104</v>
      </c>
      <c r="G485" s="5" t="s">
        <v>3744</v>
      </c>
      <c r="H485" s="5" t="n">
        <v>3</v>
      </c>
      <c r="I485" s="5" t="s">
        <v>1911</v>
      </c>
      <c r="J485" s="5" t="s">
        <v>3745</v>
      </c>
      <c r="K485" s="5" t="s">
        <v>3746</v>
      </c>
    </row>
    <row r="486" customFormat="false" ht="15" hidden="false" customHeight="false" outlineLevel="0" collapsed="false">
      <c r="A486" s="5" t="s">
        <v>69</v>
      </c>
      <c r="B486" s="5" t="s">
        <v>3747</v>
      </c>
      <c r="C486" s="5" t="s">
        <v>3748</v>
      </c>
      <c r="D486" s="5" t="s">
        <v>3749</v>
      </c>
      <c r="E486" s="5" t="s">
        <v>3155</v>
      </c>
      <c r="F486" s="5" t="s">
        <v>265</v>
      </c>
      <c r="G486" s="5" t="s">
        <v>345</v>
      </c>
      <c r="H486" s="5" t="n">
        <v>2</v>
      </c>
      <c r="I486" s="5" t="s">
        <v>1747</v>
      </c>
      <c r="J486" s="5" t="s">
        <v>3750</v>
      </c>
      <c r="K486" s="5" t="s">
        <v>3751</v>
      </c>
    </row>
    <row r="487" customFormat="false" ht="15" hidden="false" customHeight="false" outlineLevel="0" collapsed="false">
      <c r="A487" s="5" t="s">
        <v>75</v>
      </c>
      <c r="B487" s="5" t="s">
        <v>3752</v>
      </c>
      <c r="C487" s="5" t="s">
        <v>3753</v>
      </c>
      <c r="D487" s="5" t="s">
        <v>3754</v>
      </c>
      <c r="E487" s="5" t="s">
        <v>3155</v>
      </c>
      <c r="F487" s="5" t="s">
        <v>265</v>
      </c>
      <c r="G487" s="5" t="s">
        <v>345</v>
      </c>
      <c r="H487" s="5" t="n">
        <v>2</v>
      </c>
      <c r="I487" s="5" t="s">
        <v>1709</v>
      </c>
      <c r="J487" s="5" t="s">
        <v>3755</v>
      </c>
      <c r="K487" s="5" t="s">
        <v>3756</v>
      </c>
    </row>
    <row r="488" customFormat="false" ht="15" hidden="false" customHeight="false" outlineLevel="0" collapsed="false">
      <c r="A488" s="5" t="s">
        <v>60</v>
      </c>
      <c r="B488" s="5" t="s">
        <v>3757</v>
      </c>
      <c r="C488" s="5" t="s">
        <v>3758</v>
      </c>
      <c r="D488" s="5"/>
      <c r="E488" s="5" t="s">
        <v>3155</v>
      </c>
      <c r="F488" s="5" t="s">
        <v>265</v>
      </c>
      <c r="G488" s="5" t="s">
        <v>436</v>
      </c>
      <c r="H488" s="5" t="n">
        <v>3</v>
      </c>
      <c r="I488" s="5" t="s">
        <v>1760</v>
      </c>
      <c r="J488" s="5" t="s">
        <v>3759</v>
      </c>
      <c r="K488" s="5" t="s">
        <v>3760</v>
      </c>
    </row>
    <row r="489" customFormat="false" ht="15" hidden="false" customHeight="false" outlineLevel="0" collapsed="false">
      <c r="A489" s="5" t="s">
        <v>63</v>
      </c>
      <c r="B489" s="5" t="s">
        <v>908</v>
      </c>
      <c r="C489" s="5" t="s">
        <v>3761</v>
      </c>
      <c r="D489" s="5"/>
      <c r="E489" s="5" t="s">
        <v>3155</v>
      </c>
      <c r="F489" s="5" t="s">
        <v>265</v>
      </c>
      <c r="G489" s="5" t="s">
        <v>345</v>
      </c>
      <c r="H489" s="5" t="n">
        <v>3</v>
      </c>
      <c r="I489" s="5" t="s">
        <v>3762</v>
      </c>
      <c r="J489" s="5" t="s">
        <v>909</v>
      </c>
      <c r="K489" s="5" t="s">
        <v>910</v>
      </c>
    </row>
    <row r="490" customFormat="false" ht="15" hidden="false" customHeight="false" outlineLevel="0" collapsed="false">
      <c r="A490" s="5" t="s">
        <v>69</v>
      </c>
      <c r="B490" s="5" t="s">
        <v>3763</v>
      </c>
      <c r="C490" s="5" t="s">
        <v>3764</v>
      </c>
      <c r="D490" s="5" t="s">
        <v>3765</v>
      </c>
      <c r="E490" s="5" t="s">
        <v>3155</v>
      </c>
      <c r="F490" s="5" t="s">
        <v>265</v>
      </c>
      <c r="G490" s="5" t="s">
        <v>345</v>
      </c>
      <c r="H490" s="5" t="n">
        <v>2</v>
      </c>
      <c r="I490" s="5" t="s">
        <v>1664</v>
      </c>
      <c r="J490" s="5" t="s">
        <v>3766</v>
      </c>
      <c r="K490" s="5" t="s">
        <v>3767</v>
      </c>
    </row>
    <row r="491" customFormat="false" ht="15" hidden="false" customHeight="false" outlineLevel="0" collapsed="false">
      <c r="A491" s="5" t="s">
        <v>51</v>
      </c>
      <c r="B491" s="5" t="s">
        <v>3768</v>
      </c>
      <c r="C491" s="5" t="s">
        <v>3769</v>
      </c>
      <c r="D491" s="5" t="s">
        <v>3770</v>
      </c>
      <c r="E491" s="5" t="s">
        <v>3155</v>
      </c>
      <c r="F491" s="5" t="s">
        <v>104</v>
      </c>
      <c r="G491" s="5"/>
      <c r="H491" s="5" t="n">
        <v>2</v>
      </c>
      <c r="I491" s="5" t="s">
        <v>1635</v>
      </c>
      <c r="J491" s="5" t="s">
        <v>3771</v>
      </c>
      <c r="K491" s="5" t="s">
        <v>3772</v>
      </c>
    </row>
    <row r="492" customFormat="false" ht="15" hidden="false" customHeight="false" outlineLevel="0" collapsed="false">
      <c r="A492" s="5" t="s">
        <v>54</v>
      </c>
      <c r="B492" s="5" t="s">
        <v>3773</v>
      </c>
      <c r="C492" s="5" t="s">
        <v>3774</v>
      </c>
      <c r="D492" s="5" t="s">
        <v>3775</v>
      </c>
      <c r="E492" s="5" t="s">
        <v>3155</v>
      </c>
      <c r="F492" s="5" t="s">
        <v>104</v>
      </c>
      <c r="G492" s="5" t="s">
        <v>3776</v>
      </c>
      <c r="H492" s="5" t="n">
        <v>3</v>
      </c>
      <c r="I492" s="5" t="s">
        <v>1629</v>
      </c>
      <c r="J492" s="5" t="s">
        <v>3777</v>
      </c>
      <c r="K492" s="5" t="s">
        <v>3778</v>
      </c>
    </row>
    <row r="493" customFormat="false" ht="15" hidden="false" customHeight="false" outlineLevel="0" collapsed="false">
      <c r="A493" s="5" t="s">
        <v>89</v>
      </c>
      <c r="B493" s="5" t="s">
        <v>3779</v>
      </c>
      <c r="C493" s="5" t="s">
        <v>3780</v>
      </c>
      <c r="D493" s="5" t="s">
        <v>3781</v>
      </c>
      <c r="E493" s="5" t="s">
        <v>3155</v>
      </c>
      <c r="F493" s="5" t="s">
        <v>265</v>
      </c>
      <c r="G493" s="5" t="s">
        <v>345</v>
      </c>
      <c r="H493" s="5" t="n">
        <v>2</v>
      </c>
      <c r="I493" s="5" t="s">
        <v>1694</v>
      </c>
      <c r="J493" s="5" t="s">
        <v>3782</v>
      </c>
      <c r="K493" s="5" t="s">
        <v>3783</v>
      </c>
    </row>
    <row r="494" customFormat="false" ht="15" hidden="false" customHeight="false" outlineLevel="0" collapsed="false">
      <c r="A494" s="5" t="s">
        <v>43</v>
      </c>
      <c r="B494" s="5" t="s">
        <v>3784</v>
      </c>
      <c r="C494" s="5" t="s">
        <v>3785</v>
      </c>
      <c r="D494" s="5" t="s">
        <v>3786</v>
      </c>
      <c r="E494" s="5" t="s">
        <v>3155</v>
      </c>
      <c r="F494" s="5" t="s">
        <v>265</v>
      </c>
      <c r="G494" s="5" t="s">
        <v>345</v>
      </c>
      <c r="H494" s="5" t="n">
        <v>2</v>
      </c>
      <c r="I494" s="5" t="s">
        <v>1858</v>
      </c>
      <c r="J494" s="5" t="s">
        <v>3787</v>
      </c>
      <c r="K494" s="5" t="s">
        <v>3788</v>
      </c>
    </row>
    <row r="495" customFormat="false" ht="15" hidden="false" customHeight="false" outlineLevel="0" collapsed="false">
      <c r="A495" s="5" t="s">
        <v>46</v>
      </c>
      <c r="B495" s="5" t="s">
        <v>3789</v>
      </c>
      <c r="C495" s="5" t="s">
        <v>3790</v>
      </c>
      <c r="D495" s="5" t="s">
        <v>3791</v>
      </c>
      <c r="E495" s="5" t="s">
        <v>3155</v>
      </c>
      <c r="F495" s="5" t="s">
        <v>265</v>
      </c>
      <c r="G495" s="5" t="s">
        <v>345</v>
      </c>
      <c r="H495" s="5" t="n">
        <v>7</v>
      </c>
      <c r="I495" s="5" t="s">
        <v>1664</v>
      </c>
      <c r="J495" s="5" t="s">
        <v>3792</v>
      </c>
      <c r="K495" s="5" t="s">
        <v>3793</v>
      </c>
    </row>
    <row r="496" customFormat="false" ht="15" hidden="false" customHeight="false" outlineLevel="0" collapsed="false">
      <c r="A496" s="5" t="s">
        <v>57</v>
      </c>
      <c r="B496" s="5" t="s">
        <v>3794</v>
      </c>
      <c r="C496" s="5" t="s">
        <v>3795</v>
      </c>
      <c r="D496" s="5" t="s">
        <v>3796</v>
      </c>
      <c r="E496" s="5" t="s">
        <v>3155</v>
      </c>
      <c r="F496" s="5" t="s">
        <v>265</v>
      </c>
      <c r="G496" s="5" t="s">
        <v>345</v>
      </c>
      <c r="H496" s="5" t="n">
        <v>3</v>
      </c>
      <c r="I496" s="5" t="s">
        <v>2831</v>
      </c>
      <c r="J496" s="5" t="s">
        <v>3797</v>
      </c>
      <c r="K496" s="5" t="s">
        <v>3798</v>
      </c>
    </row>
    <row r="497" customFormat="false" ht="15" hidden="false" customHeight="false" outlineLevel="0" collapsed="false">
      <c r="A497" s="5" t="s">
        <v>40</v>
      </c>
      <c r="B497" s="5" t="s">
        <v>3799</v>
      </c>
      <c r="C497" s="5" t="s">
        <v>3800</v>
      </c>
      <c r="D497" s="5" t="s">
        <v>3801</v>
      </c>
      <c r="E497" s="5" t="s">
        <v>3155</v>
      </c>
      <c r="F497" s="5" t="s">
        <v>265</v>
      </c>
      <c r="G497" s="5" t="s">
        <v>345</v>
      </c>
      <c r="H497" s="5" t="n">
        <v>2</v>
      </c>
      <c r="I497" s="5" t="s">
        <v>1709</v>
      </c>
      <c r="J497" s="5" t="s">
        <v>3802</v>
      </c>
      <c r="K497" s="5" t="s">
        <v>3803</v>
      </c>
    </row>
    <row r="498" customFormat="false" ht="15" hidden="false" customHeight="false" outlineLevel="0" collapsed="false">
      <c r="A498" s="5" t="s">
        <v>51</v>
      </c>
      <c r="B498" s="5" t="s">
        <v>3804</v>
      </c>
      <c r="C498" s="5" t="s">
        <v>3805</v>
      </c>
      <c r="D498" s="5" t="s">
        <v>3806</v>
      </c>
      <c r="E498" s="5" t="s">
        <v>3155</v>
      </c>
      <c r="F498" s="5" t="s">
        <v>265</v>
      </c>
      <c r="G498" s="5" t="s">
        <v>345</v>
      </c>
      <c r="H498" s="5" t="n">
        <v>2</v>
      </c>
      <c r="I498" s="5" t="s">
        <v>1747</v>
      </c>
      <c r="J498" s="5" t="s">
        <v>3807</v>
      </c>
      <c r="K498" s="5" t="s">
        <v>3808</v>
      </c>
    </row>
    <row r="499" customFormat="false" ht="15" hidden="false" customHeight="false" outlineLevel="0" collapsed="false">
      <c r="A499" s="5" t="s">
        <v>69</v>
      </c>
      <c r="B499" s="5" t="s">
        <v>1036</v>
      </c>
      <c r="C499" s="5" t="s">
        <v>3809</v>
      </c>
      <c r="D499" s="5" t="s">
        <v>3810</v>
      </c>
      <c r="E499" s="5" t="s">
        <v>3155</v>
      </c>
      <c r="F499" s="5" t="s">
        <v>265</v>
      </c>
      <c r="G499" s="5" t="s">
        <v>345</v>
      </c>
      <c r="H499" s="5" t="n">
        <v>10</v>
      </c>
      <c r="I499" s="5" t="s">
        <v>1656</v>
      </c>
      <c r="J499" s="5" t="s">
        <v>1037</v>
      </c>
      <c r="K499" s="5" t="s">
        <v>1038</v>
      </c>
    </row>
    <row r="500" customFormat="false" ht="15" hidden="false" customHeight="false" outlineLevel="0" collapsed="false">
      <c r="A500" s="5" t="s">
        <v>54</v>
      </c>
      <c r="B500" s="5" t="s">
        <v>3811</v>
      </c>
      <c r="C500" s="5" t="s">
        <v>3812</v>
      </c>
      <c r="D500" s="5" t="s">
        <v>3813</v>
      </c>
      <c r="E500" s="5" t="s">
        <v>3155</v>
      </c>
      <c r="F500" s="5" t="s">
        <v>265</v>
      </c>
      <c r="G500" s="5" t="s">
        <v>345</v>
      </c>
      <c r="H500" s="5" t="n">
        <v>2</v>
      </c>
      <c r="I500" s="5" t="s">
        <v>1709</v>
      </c>
      <c r="J500" s="5" t="s">
        <v>3814</v>
      </c>
      <c r="K500" s="5" t="s">
        <v>3815</v>
      </c>
    </row>
    <row r="501" customFormat="false" ht="15" hidden="false" customHeight="false" outlineLevel="0" collapsed="false">
      <c r="A501" s="5" t="s">
        <v>54</v>
      </c>
      <c r="B501" s="5" t="s">
        <v>3816</v>
      </c>
      <c r="C501" s="5" t="s">
        <v>3817</v>
      </c>
      <c r="D501" s="5" t="s">
        <v>3818</v>
      </c>
      <c r="E501" s="5" t="s">
        <v>3155</v>
      </c>
      <c r="F501" s="5" t="s">
        <v>265</v>
      </c>
      <c r="G501" s="5" t="s">
        <v>345</v>
      </c>
      <c r="H501" s="5" t="n">
        <v>2</v>
      </c>
      <c r="I501" s="5" t="s">
        <v>1709</v>
      </c>
      <c r="J501" s="5" t="s">
        <v>3819</v>
      </c>
      <c r="K501" s="5" t="s">
        <v>3820</v>
      </c>
    </row>
    <row r="502" customFormat="false" ht="15" hidden="false" customHeight="false" outlineLevel="0" collapsed="false">
      <c r="A502" s="5" t="s">
        <v>72</v>
      </c>
      <c r="B502" s="5" t="s">
        <v>3821</v>
      </c>
      <c r="C502" s="5" t="s">
        <v>3822</v>
      </c>
      <c r="D502" s="5" t="s">
        <v>3823</v>
      </c>
      <c r="E502" s="5" t="s">
        <v>3155</v>
      </c>
      <c r="F502" s="5" t="s">
        <v>265</v>
      </c>
      <c r="G502" s="5" t="s">
        <v>345</v>
      </c>
      <c r="H502" s="5" t="n">
        <v>4</v>
      </c>
      <c r="I502" s="5" t="s">
        <v>1647</v>
      </c>
      <c r="J502" s="5" t="s">
        <v>3824</v>
      </c>
      <c r="K502" s="5" t="s">
        <v>3825</v>
      </c>
    </row>
    <row r="503" customFormat="false" ht="15" hidden="false" customHeight="false" outlineLevel="0" collapsed="false">
      <c r="A503" s="5" t="s">
        <v>66</v>
      </c>
      <c r="B503" s="5" t="s">
        <v>972</v>
      </c>
      <c r="C503" s="5" t="s">
        <v>3826</v>
      </c>
      <c r="D503" s="5" t="s">
        <v>3827</v>
      </c>
      <c r="E503" s="5" t="s">
        <v>3155</v>
      </c>
      <c r="F503" s="5" t="s">
        <v>265</v>
      </c>
      <c r="G503" s="5" t="s">
        <v>345</v>
      </c>
      <c r="H503" s="5" t="n">
        <v>2</v>
      </c>
      <c r="I503" s="5" t="s">
        <v>1709</v>
      </c>
      <c r="J503" s="5" t="s">
        <v>973</v>
      </c>
      <c r="K503" s="5" t="s">
        <v>974</v>
      </c>
    </row>
    <row r="504" customFormat="false" ht="15" hidden="false" customHeight="false" outlineLevel="0" collapsed="false">
      <c r="A504" s="5" t="s">
        <v>86</v>
      </c>
      <c r="B504" s="5" t="s">
        <v>3828</v>
      </c>
      <c r="C504" s="5" t="s">
        <v>3829</v>
      </c>
      <c r="D504" s="5" t="s">
        <v>3830</v>
      </c>
      <c r="E504" s="5" t="s">
        <v>3155</v>
      </c>
      <c r="F504" s="5" t="s">
        <v>265</v>
      </c>
      <c r="G504" s="5" t="s">
        <v>345</v>
      </c>
      <c r="H504" s="5" t="n">
        <v>2</v>
      </c>
      <c r="I504" s="5" t="s">
        <v>1971</v>
      </c>
      <c r="J504" s="5" t="s">
        <v>3831</v>
      </c>
      <c r="K504" s="5" t="s">
        <v>3832</v>
      </c>
    </row>
    <row r="505" customFormat="false" ht="15" hidden="false" customHeight="false" outlineLevel="0" collapsed="false">
      <c r="A505" s="5" t="s">
        <v>69</v>
      </c>
      <c r="B505" s="5" t="s">
        <v>3833</v>
      </c>
      <c r="C505" s="5" t="s">
        <v>3834</v>
      </c>
      <c r="D505" s="5" t="s">
        <v>3835</v>
      </c>
      <c r="E505" s="5" t="s">
        <v>3155</v>
      </c>
      <c r="F505" s="5" t="s">
        <v>265</v>
      </c>
      <c r="G505" s="5" t="s">
        <v>345</v>
      </c>
      <c r="H505" s="5" t="n">
        <v>1</v>
      </c>
      <c r="I505" s="5" t="s">
        <v>1656</v>
      </c>
      <c r="J505" s="5" t="s">
        <v>3836</v>
      </c>
      <c r="K505" s="5" t="s">
        <v>3837</v>
      </c>
    </row>
    <row r="506" customFormat="false" ht="15" hidden="false" customHeight="false" outlineLevel="0" collapsed="false">
      <c r="A506" s="5" t="s">
        <v>46</v>
      </c>
      <c r="B506" s="5" t="s">
        <v>3838</v>
      </c>
      <c r="C506" s="5" t="s">
        <v>3839</v>
      </c>
      <c r="D506" s="5" t="s">
        <v>3840</v>
      </c>
      <c r="E506" s="5" t="s">
        <v>3155</v>
      </c>
      <c r="F506" s="5" t="s">
        <v>265</v>
      </c>
      <c r="G506" s="5" t="s">
        <v>436</v>
      </c>
      <c r="H506" s="5" t="n">
        <v>3</v>
      </c>
      <c r="I506" s="5" t="s">
        <v>3509</v>
      </c>
      <c r="J506" s="5" t="s">
        <v>3841</v>
      </c>
      <c r="K506" s="5" t="s">
        <v>3842</v>
      </c>
    </row>
    <row r="507" customFormat="false" ht="15" hidden="false" customHeight="false" outlineLevel="0" collapsed="false">
      <c r="A507" s="5" t="s">
        <v>72</v>
      </c>
      <c r="B507" s="5" t="s">
        <v>3843</v>
      </c>
      <c r="C507" s="5" t="s">
        <v>3844</v>
      </c>
      <c r="D507" s="5"/>
      <c r="E507" s="5" t="s">
        <v>3155</v>
      </c>
      <c r="F507" s="5" t="s">
        <v>265</v>
      </c>
      <c r="G507" s="5" t="s">
        <v>345</v>
      </c>
      <c r="H507" s="5" t="n">
        <v>3</v>
      </c>
      <c r="I507" s="5" t="s">
        <v>1647</v>
      </c>
      <c r="J507" s="5" t="s">
        <v>3845</v>
      </c>
      <c r="K507" s="5" t="s">
        <v>3846</v>
      </c>
    </row>
    <row r="508" customFormat="false" ht="15" hidden="false" customHeight="false" outlineLevel="0" collapsed="false">
      <c r="A508" s="5" t="s">
        <v>69</v>
      </c>
      <c r="B508" s="5" t="s">
        <v>3847</v>
      </c>
      <c r="C508" s="5" t="s">
        <v>3848</v>
      </c>
      <c r="D508" s="5" t="s">
        <v>3849</v>
      </c>
      <c r="E508" s="5" t="s">
        <v>3155</v>
      </c>
      <c r="F508" s="5" t="s">
        <v>265</v>
      </c>
      <c r="G508" s="5" t="s">
        <v>436</v>
      </c>
      <c r="H508" s="5" t="n">
        <v>2</v>
      </c>
      <c r="I508" s="5" t="s">
        <v>1664</v>
      </c>
      <c r="J508" s="5" t="s">
        <v>3850</v>
      </c>
      <c r="K508" s="5" t="s">
        <v>3851</v>
      </c>
    </row>
    <row r="509" customFormat="false" ht="15" hidden="false" customHeight="false" outlineLevel="0" collapsed="false">
      <c r="A509" s="5" t="s">
        <v>89</v>
      </c>
      <c r="B509" s="5" t="s">
        <v>1416</v>
      </c>
      <c r="C509" s="5" t="s">
        <v>3852</v>
      </c>
      <c r="D509" s="5" t="s">
        <v>3853</v>
      </c>
      <c r="E509" s="5" t="s">
        <v>3155</v>
      </c>
      <c r="F509" s="5" t="s">
        <v>265</v>
      </c>
      <c r="G509" s="5" t="s">
        <v>436</v>
      </c>
      <c r="H509" s="5" t="n">
        <v>1</v>
      </c>
      <c r="I509" s="5" t="s">
        <v>3509</v>
      </c>
      <c r="J509" s="5" t="s">
        <v>1417</v>
      </c>
      <c r="K509" s="5" t="s">
        <v>1418</v>
      </c>
    </row>
    <row r="510" customFormat="false" ht="15" hidden="false" customHeight="false" outlineLevel="0" collapsed="false">
      <c r="A510" s="5" t="s">
        <v>57</v>
      </c>
      <c r="B510" s="5" t="s">
        <v>817</v>
      </c>
      <c r="C510" s="5" t="s">
        <v>3854</v>
      </c>
      <c r="D510" s="5" t="s">
        <v>3855</v>
      </c>
      <c r="E510" s="5" t="s">
        <v>3155</v>
      </c>
      <c r="F510" s="5" t="s">
        <v>265</v>
      </c>
      <c r="G510" s="5" t="s">
        <v>345</v>
      </c>
      <c r="H510" s="5" t="n">
        <v>7</v>
      </c>
      <c r="I510" s="5" t="s">
        <v>2831</v>
      </c>
      <c r="J510" s="5" t="s">
        <v>818</v>
      </c>
      <c r="K510" s="5" t="s">
        <v>819</v>
      </c>
    </row>
    <row r="511" customFormat="false" ht="15" hidden="false" customHeight="false" outlineLevel="0" collapsed="false">
      <c r="A511" s="5" t="s">
        <v>69</v>
      </c>
      <c r="B511" s="5" t="s">
        <v>3856</v>
      </c>
      <c r="C511" s="5" t="s">
        <v>3857</v>
      </c>
      <c r="D511" s="5" t="s">
        <v>3858</v>
      </c>
      <c r="E511" s="5" t="s">
        <v>3155</v>
      </c>
      <c r="F511" s="5" t="s">
        <v>104</v>
      </c>
      <c r="G511" s="5" t="s">
        <v>735</v>
      </c>
      <c r="H511" s="5" t="n">
        <v>2</v>
      </c>
      <c r="I511" s="5" t="s">
        <v>1664</v>
      </c>
      <c r="J511" s="5" t="s">
        <v>3859</v>
      </c>
      <c r="K511" s="5" t="s">
        <v>3860</v>
      </c>
    </row>
    <row r="512" customFormat="false" ht="15" hidden="false" customHeight="false" outlineLevel="0" collapsed="false">
      <c r="A512" s="5" t="s">
        <v>69</v>
      </c>
      <c r="B512" s="5" t="s">
        <v>1044</v>
      </c>
      <c r="C512" s="5" t="s">
        <v>3861</v>
      </c>
      <c r="D512" s="5" t="s">
        <v>3862</v>
      </c>
      <c r="E512" s="5" t="s">
        <v>3155</v>
      </c>
      <c r="F512" s="5" t="s">
        <v>265</v>
      </c>
      <c r="G512" s="5" t="s">
        <v>345</v>
      </c>
      <c r="H512" s="5" t="n">
        <v>4</v>
      </c>
      <c r="I512" s="5" t="s">
        <v>1664</v>
      </c>
      <c r="J512" s="5" t="s">
        <v>1045</v>
      </c>
      <c r="K512" s="5" t="s">
        <v>1046</v>
      </c>
    </row>
    <row r="513" customFormat="false" ht="15" hidden="false" customHeight="false" outlineLevel="0" collapsed="false">
      <c r="A513" s="5" t="s">
        <v>83</v>
      </c>
      <c r="B513" s="5" t="s">
        <v>3863</v>
      </c>
      <c r="C513" s="5" t="s">
        <v>3864</v>
      </c>
      <c r="D513" s="5" t="s">
        <v>3865</v>
      </c>
      <c r="E513" s="5" t="s">
        <v>3155</v>
      </c>
      <c r="F513" s="5" t="s">
        <v>265</v>
      </c>
      <c r="G513" s="5" t="s">
        <v>345</v>
      </c>
      <c r="H513" s="5" t="n">
        <v>2</v>
      </c>
      <c r="I513" s="5" t="s">
        <v>1876</v>
      </c>
      <c r="J513" s="5" t="s">
        <v>3866</v>
      </c>
      <c r="K513" s="5" t="s">
        <v>3867</v>
      </c>
    </row>
    <row r="514" customFormat="false" ht="15" hidden="false" customHeight="false" outlineLevel="0" collapsed="false">
      <c r="A514" s="5" t="s">
        <v>80</v>
      </c>
      <c r="B514" s="5" t="s">
        <v>3868</v>
      </c>
      <c r="C514" s="5" t="s">
        <v>3869</v>
      </c>
      <c r="D514" s="5" t="s">
        <v>3870</v>
      </c>
      <c r="E514" s="5" t="s">
        <v>3155</v>
      </c>
      <c r="F514" s="5" t="s">
        <v>265</v>
      </c>
      <c r="G514" s="5" t="s">
        <v>345</v>
      </c>
      <c r="H514" s="5" t="n">
        <v>10</v>
      </c>
      <c r="I514" s="5" t="s">
        <v>1647</v>
      </c>
      <c r="J514" s="5" t="s">
        <v>3871</v>
      </c>
      <c r="K514" s="5" t="s">
        <v>3872</v>
      </c>
    </row>
    <row r="515" customFormat="false" ht="15" hidden="false" customHeight="false" outlineLevel="0" collapsed="false">
      <c r="A515" s="5" t="s">
        <v>47</v>
      </c>
      <c r="B515" s="5" t="s">
        <v>3873</v>
      </c>
      <c r="C515" s="5" t="s">
        <v>3874</v>
      </c>
      <c r="D515" s="5" t="s">
        <v>3875</v>
      </c>
      <c r="E515" s="5" t="s">
        <v>3155</v>
      </c>
      <c r="F515" s="5" t="s">
        <v>265</v>
      </c>
      <c r="G515" s="5" t="s">
        <v>345</v>
      </c>
      <c r="H515" s="5" t="n">
        <v>2</v>
      </c>
      <c r="I515" s="5" t="s">
        <v>2429</v>
      </c>
      <c r="J515" s="5" t="s">
        <v>3876</v>
      </c>
      <c r="K515" s="5" t="s">
        <v>3877</v>
      </c>
    </row>
    <row r="516" customFormat="false" ht="15" hidden="false" customHeight="false" outlineLevel="0" collapsed="false">
      <c r="A516" s="5" t="s">
        <v>51</v>
      </c>
      <c r="B516" s="5" t="s">
        <v>703</v>
      </c>
      <c r="C516" s="5" t="s">
        <v>3878</v>
      </c>
      <c r="D516" s="5" t="s">
        <v>3879</v>
      </c>
      <c r="E516" s="5" t="s">
        <v>3155</v>
      </c>
      <c r="F516" s="5" t="s">
        <v>265</v>
      </c>
      <c r="G516" s="5" t="s">
        <v>345</v>
      </c>
      <c r="H516" s="5" t="n">
        <v>8</v>
      </c>
      <c r="I516" s="5" t="s">
        <v>1747</v>
      </c>
      <c r="J516" s="5" t="s">
        <v>704</v>
      </c>
      <c r="K516" s="5" t="s">
        <v>705</v>
      </c>
    </row>
    <row r="517" customFormat="false" ht="15" hidden="false" customHeight="false" outlineLevel="0" collapsed="false">
      <c r="A517" s="5" t="s">
        <v>54</v>
      </c>
      <c r="B517" s="5" t="s">
        <v>3880</v>
      </c>
      <c r="C517" s="5" t="s">
        <v>3881</v>
      </c>
      <c r="D517" s="5" t="s">
        <v>3882</v>
      </c>
      <c r="E517" s="5" t="s">
        <v>3155</v>
      </c>
      <c r="F517" s="5" t="s">
        <v>265</v>
      </c>
      <c r="G517" s="5" t="s">
        <v>345</v>
      </c>
      <c r="H517" s="5" t="n">
        <v>2</v>
      </c>
      <c r="I517" s="5" t="s">
        <v>1629</v>
      </c>
      <c r="J517" s="5" t="s">
        <v>3883</v>
      </c>
      <c r="K517" s="5" t="s">
        <v>3884</v>
      </c>
    </row>
    <row r="518" customFormat="false" ht="15" hidden="false" customHeight="false" outlineLevel="0" collapsed="false">
      <c r="A518" s="5" t="s">
        <v>69</v>
      </c>
      <c r="B518" s="5" t="s">
        <v>3885</v>
      </c>
      <c r="C518" s="5" t="s">
        <v>3886</v>
      </c>
      <c r="D518" s="5" t="s">
        <v>3887</v>
      </c>
      <c r="E518" s="5" t="s">
        <v>3155</v>
      </c>
      <c r="F518" s="5" t="s">
        <v>265</v>
      </c>
      <c r="G518" s="5" t="s">
        <v>345</v>
      </c>
      <c r="H518" s="5" t="n">
        <v>1</v>
      </c>
      <c r="I518" s="5" t="s">
        <v>1709</v>
      </c>
      <c r="J518" s="5" t="s">
        <v>3888</v>
      </c>
      <c r="K518" s="5" t="s">
        <v>3889</v>
      </c>
    </row>
    <row r="519" customFormat="false" ht="15" hidden="false" customHeight="false" outlineLevel="0" collapsed="false">
      <c r="A519" s="5" t="s">
        <v>86</v>
      </c>
      <c r="B519" s="5" t="s">
        <v>1345</v>
      </c>
      <c r="C519" s="5" t="s">
        <v>3890</v>
      </c>
      <c r="D519" s="5" t="s">
        <v>3891</v>
      </c>
      <c r="E519" s="5" t="s">
        <v>3155</v>
      </c>
      <c r="F519" s="5" t="s">
        <v>104</v>
      </c>
      <c r="G519" s="5" t="s">
        <v>459</v>
      </c>
      <c r="H519" s="5" t="n">
        <v>3</v>
      </c>
      <c r="I519" s="5" t="s">
        <v>1647</v>
      </c>
      <c r="J519" s="5" t="s">
        <v>1346</v>
      </c>
      <c r="K519" s="5" t="s">
        <v>1347</v>
      </c>
    </row>
    <row r="520" customFormat="false" ht="15" hidden="false" customHeight="false" outlineLevel="0" collapsed="false">
      <c r="A520" s="5" t="s">
        <v>69</v>
      </c>
      <c r="B520" s="5" t="s">
        <v>1048</v>
      </c>
      <c r="C520" s="5" t="s">
        <v>3892</v>
      </c>
      <c r="D520" s="5" t="s">
        <v>3893</v>
      </c>
      <c r="E520" s="5" t="s">
        <v>3155</v>
      </c>
      <c r="F520" s="5" t="s">
        <v>104</v>
      </c>
      <c r="G520" s="5" t="s">
        <v>1049</v>
      </c>
      <c r="H520" s="5" t="n">
        <v>6</v>
      </c>
      <c r="I520" s="5" t="s">
        <v>1664</v>
      </c>
      <c r="J520" s="5" t="s">
        <v>1050</v>
      </c>
      <c r="K520" s="5" t="s">
        <v>1051</v>
      </c>
    </row>
    <row r="521" customFormat="false" ht="15" hidden="false" customHeight="false" outlineLevel="0" collapsed="false">
      <c r="A521" s="5" t="s">
        <v>51</v>
      </c>
      <c r="B521" s="5" t="s">
        <v>707</v>
      </c>
      <c r="C521" s="5" t="s">
        <v>3894</v>
      </c>
      <c r="D521" s="5" t="s">
        <v>3895</v>
      </c>
      <c r="E521" s="5" t="s">
        <v>3155</v>
      </c>
      <c r="F521" s="5" t="s">
        <v>265</v>
      </c>
      <c r="G521" s="5" t="s">
        <v>345</v>
      </c>
      <c r="H521" s="5" t="n">
        <v>2</v>
      </c>
      <c r="I521" s="5" t="s">
        <v>1709</v>
      </c>
      <c r="J521" s="5" t="s">
        <v>708</v>
      </c>
      <c r="K521" s="5" t="s">
        <v>709</v>
      </c>
    </row>
    <row r="522" customFormat="false" ht="15" hidden="false" customHeight="false" outlineLevel="0" collapsed="false">
      <c r="A522" s="5" t="s">
        <v>66</v>
      </c>
      <c r="B522" s="5" t="s">
        <v>3896</v>
      </c>
      <c r="C522" s="5" t="s">
        <v>3897</v>
      </c>
      <c r="D522" s="5" t="s">
        <v>3898</v>
      </c>
      <c r="E522" s="5" t="s">
        <v>3155</v>
      </c>
      <c r="F522" s="5" t="s">
        <v>265</v>
      </c>
      <c r="G522" s="5" t="s">
        <v>345</v>
      </c>
      <c r="H522" s="5" t="n">
        <v>12</v>
      </c>
      <c r="I522" s="5" t="s">
        <v>1911</v>
      </c>
      <c r="J522" s="5" t="s">
        <v>3899</v>
      </c>
      <c r="K522" s="5" t="s">
        <v>3900</v>
      </c>
    </row>
    <row r="523" customFormat="false" ht="15" hidden="false" customHeight="false" outlineLevel="0" collapsed="false">
      <c r="A523" s="5" t="s">
        <v>89</v>
      </c>
      <c r="B523" s="5" t="s">
        <v>3901</v>
      </c>
      <c r="C523" s="5" t="s">
        <v>3902</v>
      </c>
      <c r="D523" s="5"/>
      <c r="E523" s="5" t="s">
        <v>3155</v>
      </c>
      <c r="F523" s="5" t="s">
        <v>265</v>
      </c>
      <c r="G523" s="5" t="s">
        <v>436</v>
      </c>
      <c r="H523" s="5"/>
      <c r="I523" s="5" t="s">
        <v>1847</v>
      </c>
      <c r="J523" s="5" t="s">
        <v>3903</v>
      </c>
      <c r="K523" s="5" t="s">
        <v>3904</v>
      </c>
    </row>
    <row r="524" customFormat="false" ht="15" hidden="false" customHeight="false" outlineLevel="0" collapsed="false">
      <c r="A524" s="5" t="s">
        <v>43</v>
      </c>
      <c r="B524" s="5" t="s">
        <v>3905</v>
      </c>
      <c r="C524" s="5" t="s">
        <v>3906</v>
      </c>
      <c r="D524" s="5" t="s">
        <v>3907</v>
      </c>
      <c r="E524" s="5" t="s">
        <v>3155</v>
      </c>
      <c r="F524" s="5" t="s">
        <v>104</v>
      </c>
      <c r="G524" s="5" t="s">
        <v>3908</v>
      </c>
      <c r="H524" s="5" t="n">
        <v>3</v>
      </c>
      <c r="I524" s="5" t="s">
        <v>1966</v>
      </c>
      <c r="J524" s="5" t="s">
        <v>3909</v>
      </c>
      <c r="K524" s="5" t="s">
        <v>3910</v>
      </c>
    </row>
    <row r="525" customFormat="false" ht="15" hidden="false" customHeight="false" outlineLevel="0" collapsed="false">
      <c r="A525" s="5" t="s">
        <v>43</v>
      </c>
      <c r="B525" s="5" t="s">
        <v>3911</v>
      </c>
      <c r="C525" s="5" t="s">
        <v>3912</v>
      </c>
      <c r="D525" s="5" t="s">
        <v>3913</v>
      </c>
      <c r="E525" s="5" t="s">
        <v>3155</v>
      </c>
      <c r="F525" s="5" t="s">
        <v>265</v>
      </c>
      <c r="G525" s="5" t="s">
        <v>345</v>
      </c>
      <c r="H525" s="5" t="n">
        <v>5</v>
      </c>
      <c r="I525" s="5" t="s">
        <v>1971</v>
      </c>
      <c r="J525" s="5" t="s">
        <v>3914</v>
      </c>
      <c r="K525" s="5" t="s">
        <v>3915</v>
      </c>
    </row>
    <row r="526" customFormat="false" ht="15" hidden="false" customHeight="false" outlineLevel="0" collapsed="false">
      <c r="A526" s="5" t="s">
        <v>80</v>
      </c>
      <c r="B526" s="5" t="s">
        <v>3916</v>
      </c>
      <c r="C526" s="5" t="s">
        <v>3917</v>
      </c>
      <c r="D526" s="5" t="s">
        <v>3918</v>
      </c>
      <c r="E526" s="5" t="s">
        <v>3155</v>
      </c>
      <c r="F526" s="5" t="s">
        <v>265</v>
      </c>
      <c r="G526" s="5" t="s">
        <v>345</v>
      </c>
      <c r="H526" s="5" t="n">
        <v>2</v>
      </c>
      <c r="I526" s="5" t="s">
        <v>1647</v>
      </c>
      <c r="J526" s="5" t="s">
        <v>3919</v>
      </c>
      <c r="K526" s="5" t="s">
        <v>3920</v>
      </c>
    </row>
    <row r="527" customFormat="false" ht="15" hidden="false" customHeight="false" outlineLevel="0" collapsed="false">
      <c r="A527" s="5" t="s">
        <v>89</v>
      </c>
      <c r="B527" s="5" t="s">
        <v>3921</v>
      </c>
      <c r="C527" s="5" t="s">
        <v>3922</v>
      </c>
      <c r="D527" s="5" t="s">
        <v>3923</v>
      </c>
      <c r="E527" s="5" t="s">
        <v>3155</v>
      </c>
      <c r="F527" s="5" t="s">
        <v>265</v>
      </c>
      <c r="G527" s="5" t="s">
        <v>345</v>
      </c>
      <c r="H527" s="5" t="n">
        <v>2</v>
      </c>
      <c r="I527" s="5" t="s">
        <v>3061</v>
      </c>
      <c r="J527" s="5" t="s">
        <v>3924</v>
      </c>
      <c r="K527" s="5" t="s">
        <v>3925</v>
      </c>
    </row>
    <row r="528" customFormat="false" ht="15" hidden="false" customHeight="false" outlineLevel="0" collapsed="false">
      <c r="A528" s="5" t="s">
        <v>54</v>
      </c>
      <c r="B528" s="5" t="s">
        <v>3926</v>
      </c>
      <c r="C528" s="5" t="s">
        <v>3927</v>
      </c>
      <c r="D528" s="5" t="s">
        <v>3928</v>
      </c>
      <c r="E528" s="5" t="s">
        <v>3155</v>
      </c>
      <c r="F528" s="5" t="s">
        <v>265</v>
      </c>
      <c r="G528" s="5" t="s">
        <v>345</v>
      </c>
      <c r="H528" s="5" t="n">
        <v>4</v>
      </c>
      <c r="I528" s="5" t="s">
        <v>1747</v>
      </c>
      <c r="J528" s="5" t="s">
        <v>3929</v>
      </c>
      <c r="K528" s="5" t="s">
        <v>3930</v>
      </c>
    </row>
    <row r="529" customFormat="false" ht="15" hidden="false" customHeight="false" outlineLevel="0" collapsed="false">
      <c r="A529" s="5" t="s">
        <v>89</v>
      </c>
      <c r="B529" s="5" t="s">
        <v>3931</v>
      </c>
      <c r="C529" s="5" t="s">
        <v>3932</v>
      </c>
      <c r="D529" s="5" t="s">
        <v>3933</v>
      </c>
      <c r="E529" s="5" t="s">
        <v>3155</v>
      </c>
      <c r="F529" s="5" t="s">
        <v>265</v>
      </c>
      <c r="G529" s="5" t="s">
        <v>436</v>
      </c>
      <c r="H529" s="5" t="n">
        <v>2</v>
      </c>
      <c r="I529" s="5" t="s">
        <v>2537</v>
      </c>
      <c r="J529" s="5" t="s">
        <v>3934</v>
      </c>
      <c r="K529" s="5" t="s">
        <v>3935</v>
      </c>
    </row>
    <row r="530" customFormat="false" ht="15" hidden="false" customHeight="false" outlineLevel="0" collapsed="false">
      <c r="A530" s="5" t="s">
        <v>47</v>
      </c>
      <c r="B530" s="5" t="s">
        <v>3936</v>
      </c>
      <c r="C530" s="5" t="s">
        <v>3937</v>
      </c>
      <c r="D530" s="5" t="s">
        <v>3938</v>
      </c>
      <c r="E530" s="5" t="s">
        <v>3155</v>
      </c>
      <c r="F530" s="5" t="s">
        <v>265</v>
      </c>
      <c r="G530" s="5" t="s">
        <v>345</v>
      </c>
      <c r="H530" s="5" t="n">
        <v>3</v>
      </c>
      <c r="I530" s="5" t="s">
        <v>1670</v>
      </c>
      <c r="J530" s="5" t="s">
        <v>3939</v>
      </c>
      <c r="K530" s="5" t="s">
        <v>3940</v>
      </c>
    </row>
    <row r="531" customFormat="false" ht="15" hidden="false" customHeight="false" outlineLevel="0" collapsed="false">
      <c r="A531" s="5" t="s">
        <v>86</v>
      </c>
      <c r="B531" s="5" t="s">
        <v>3941</v>
      </c>
      <c r="C531" s="5" t="s">
        <v>3942</v>
      </c>
      <c r="D531" s="5" t="s">
        <v>3943</v>
      </c>
      <c r="E531" s="5" t="s">
        <v>3155</v>
      </c>
      <c r="F531" s="5" t="s">
        <v>265</v>
      </c>
      <c r="G531" s="5" t="s">
        <v>345</v>
      </c>
      <c r="H531" s="5"/>
      <c r="I531" s="5" t="s">
        <v>1971</v>
      </c>
      <c r="J531" s="5" t="s">
        <v>3944</v>
      </c>
      <c r="K531" s="5" t="s">
        <v>3945</v>
      </c>
    </row>
    <row r="532" customFormat="false" ht="15" hidden="false" customHeight="false" outlineLevel="0" collapsed="false">
      <c r="A532" s="5" t="s">
        <v>66</v>
      </c>
      <c r="B532" s="5" t="s">
        <v>3946</v>
      </c>
      <c r="C532" s="5" t="s">
        <v>3947</v>
      </c>
      <c r="D532" s="5" t="s">
        <v>3948</v>
      </c>
      <c r="E532" s="5" t="s">
        <v>3155</v>
      </c>
      <c r="F532" s="5" t="s">
        <v>265</v>
      </c>
      <c r="G532" s="5" t="s">
        <v>345</v>
      </c>
      <c r="H532" s="5" t="n">
        <v>2</v>
      </c>
      <c r="I532" s="5" t="s">
        <v>1656</v>
      </c>
      <c r="J532" s="5" t="s">
        <v>3949</v>
      </c>
      <c r="K532" s="5" t="s">
        <v>3950</v>
      </c>
    </row>
    <row r="533" customFormat="false" ht="15" hidden="false" customHeight="false" outlineLevel="0" collapsed="false">
      <c r="A533" s="5" t="s">
        <v>46</v>
      </c>
      <c r="B533" s="5" t="s">
        <v>3951</v>
      </c>
      <c r="C533" s="5" t="s">
        <v>3952</v>
      </c>
      <c r="D533" s="5"/>
      <c r="E533" s="5" t="s">
        <v>3155</v>
      </c>
      <c r="F533" s="5" t="s">
        <v>104</v>
      </c>
      <c r="G533" s="5" t="s">
        <v>735</v>
      </c>
      <c r="H533" s="5"/>
      <c r="I533" s="5" t="s">
        <v>3509</v>
      </c>
      <c r="J533" s="5" t="s">
        <v>3953</v>
      </c>
      <c r="K533" s="5" t="s">
        <v>3954</v>
      </c>
    </row>
    <row r="534" customFormat="false" ht="15" hidden="false" customHeight="false" outlineLevel="0" collapsed="false">
      <c r="A534" s="5" t="s">
        <v>95</v>
      </c>
      <c r="B534" s="5" t="s">
        <v>3955</v>
      </c>
      <c r="C534" s="5" t="s">
        <v>3956</v>
      </c>
      <c r="D534" s="5" t="s">
        <v>3957</v>
      </c>
      <c r="E534" s="5" t="s">
        <v>3155</v>
      </c>
      <c r="F534" s="5" t="s">
        <v>265</v>
      </c>
      <c r="G534" s="5" t="s">
        <v>345</v>
      </c>
      <c r="H534" s="5" t="n">
        <v>3</v>
      </c>
      <c r="I534" s="5" t="s">
        <v>1836</v>
      </c>
      <c r="J534" s="5" t="s">
        <v>3958</v>
      </c>
      <c r="K534" s="5" t="s">
        <v>3959</v>
      </c>
    </row>
    <row r="535" customFormat="false" ht="15" hidden="false" customHeight="false" outlineLevel="0" collapsed="false">
      <c r="A535" s="5" t="s">
        <v>69</v>
      </c>
      <c r="B535" s="5" t="s">
        <v>3960</v>
      </c>
      <c r="C535" s="5" t="s">
        <v>3961</v>
      </c>
      <c r="D535" s="5" t="s">
        <v>3962</v>
      </c>
      <c r="E535" s="5" t="s">
        <v>3155</v>
      </c>
      <c r="F535" s="5" t="s">
        <v>265</v>
      </c>
      <c r="G535" s="5" t="s">
        <v>382</v>
      </c>
      <c r="H535" s="5" t="n">
        <v>1</v>
      </c>
      <c r="I535" s="5" t="s">
        <v>1664</v>
      </c>
      <c r="J535" s="5" t="s">
        <v>3963</v>
      </c>
      <c r="K535" s="5" t="s">
        <v>3964</v>
      </c>
    </row>
    <row r="536" customFormat="false" ht="15" hidden="false" customHeight="false" outlineLevel="0" collapsed="false">
      <c r="A536" s="5" t="s">
        <v>75</v>
      </c>
      <c r="B536" s="5" t="s">
        <v>3965</v>
      </c>
      <c r="C536" s="5" t="s">
        <v>3966</v>
      </c>
      <c r="D536" s="5" t="s">
        <v>3967</v>
      </c>
      <c r="E536" s="5" t="s">
        <v>3155</v>
      </c>
      <c r="F536" s="5" t="s">
        <v>265</v>
      </c>
      <c r="G536" s="5" t="s">
        <v>345</v>
      </c>
      <c r="H536" s="5" t="n">
        <v>2</v>
      </c>
      <c r="I536" s="5" t="s">
        <v>1656</v>
      </c>
      <c r="J536" s="5" t="s">
        <v>3968</v>
      </c>
      <c r="K536" s="5" t="s">
        <v>3969</v>
      </c>
    </row>
    <row r="537" customFormat="false" ht="15" hidden="false" customHeight="false" outlineLevel="0" collapsed="false">
      <c r="A537" s="5" t="s">
        <v>46</v>
      </c>
      <c r="B537" s="5" t="s">
        <v>3970</v>
      </c>
      <c r="C537" s="5" t="s">
        <v>3971</v>
      </c>
      <c r="D537" s="5" t="s">
        <v>3972</v>
      </c>
      <c r="E537" s="5" t="s">
        <v>3155</v>
      </c>
      <c r="F537" s="5" t="s">
        <v>265</v>
      </c>
      <c r="G537" s="5" t="s">
        <v>345</v>
      </c>
      <c r="H537" s="5" t="n">
        <v>3</v>
      </c>
      <c r="I537" s="5" t="s">
        <v>2467</v>
      </c>
      <c r="J537" s="5" t="s">
        <v>3973</v>
      </c>
      <c r="K537" s="5" t="s">
        <v>3974</v>
      </c>
    </row>
    <row r="538" customFormat="false" ht="15" hidden="false" customHeight="false" outlineLevel="0" collapsed="false">
      <c r="A538" s="5" t="s">
        <v>80</v>
      </c>
      <c r="B538" s="5" t="s">
        <v>3975</v>
      </c>
      <c r="C538" s="5" t="s">
        <v>3976</v>
      </c>
      <c r="D538" s="5"/>
      <c r="E538" s="5" t="s">
        <v>3977</v>
      </c>
      <c r="F538" s="5" t="s">
        <v>265</v>
      </c>
      <c r="G538" s="5" t="s">
        <v>345</v>
      </c>
      <c r="H538" s="5" t="n">
        <v>4</v>
      </c>
      <c r="I538" s="5" t="s">
        <v>1647</v>
      </c>
      <c r="J538" s="5" t="s">
        <v>3978</v>
      </c>
      <c r="K538" s="5" t="s">
        <v>3979</v>
      </c>
    </row>
    <row r="539" customFormat="false" ht="15" hidden="false" customHeight="false" outlineLevel="0" collapsed="false">
      <c r="A539" s="5" t="s">
        <v>92</v>
      </c>
      <c r="B539" s="5" t="s">
        <v>3980</v>
      </c>
      <c r="C539" s="5" t="s">
        <v>3981</v>
      </c>
      <c r="D539" s="5" t="s">
        <v>3982</v>
      </c>
      <c r="E539" s="5" t="s">
        <v>3977</v>
      </c>
      <c r="F539" s="5" t="s">
        <v>265</v>
      </c>
      <c r="G539" s="5" t="s">
        <v>345</v>
      </c>
      <c r="H539" s="5" t="n">
        <v>3</v>
      </c>
      <c r="I539" s="5" t="s">
        <v>2292</v>
      </c>
      <c r="J539" s="5" t="s">
        <v>3983</v>
      </c>
      <c r="K539" s="5" t="s">
        <v>3984</v>
      </c>
    </row>
    <row r="540" customFormat="false" ht="15" hidden="false" customHeight="false" outlineLevel="0" collapsed="false">
      <c r="A540" s="5" t="s">
        <v>86</v>
      </c>
      <c r="B540" s="5" t="s">
        <v>3985</v>
      </c>
      <c r="C540" s="5" t="s">
        <v>3986</v>
      </c>
      <c r="D540" s="5" t="s">
        <v>3987</v>
      </c>
      <c r="E540" s="5" t="s">
        <v>3977</v>
      </c>
      <c r="F540" s="5" t="s">
        <v>265</v>
      </c>
      <c r="G540" s="5" t="s">
        <v>3988</v>
      </c>
      <c r="H540" s="5" t="n">
        <v>4</v>
      </c>
      <c r="I540" s="5" t="s">
        <v>2292</v>
      </c>
      <c r="J540" s="5" t="s">
        <v>3989</v>
      </c>
      <c r="K540" s="5" t="s">
        <v>3990</v>
      </c>
    </row>
    <row r="541" customFormat="false" ht="15" hidden="false" customHeight="false" outlineLevel="0" collapsed="false">
      <c r="A541" s="5" t="s">
        <v>80</v>
      </c>
      <c r="B541" s="5" t="s">
        <v>3991</v>
      </c>
      <c r="C541" s="5" t="s">
        <v>3992</v>
      </c>
      <c r="D541" s="5" t="s">
        <v>3993</v>
      </c>
      <c r="E541" s="5" t="s">
        <v>3977</v>
      </c>
      <c r="F541" s="5" t="s">
        <v>265</v>
      </c>
      <c r="G541" s="5" t="s">
        <v>3994</v>
      </c>
      <c r="H541" s="5" t="n">
        <v>3</v>
      </c>
      <c r="I541" s="5" t="s">
        <v>1647</v>
      </c>
      <c r="J541" s="5" t="s">
        <v>3995</v>
      </c>
      <c r="K541" s="5" t="s">
        <v>3996</v>
      </c>
    </row>
    <row r="542" customFormat="false" ht="15" hidden="false" customHeight="false" outlineLevel="0" collapsed="false">
      <c r="A542" s="5" t="s">
        <v>63</v>
      </c>
      <c r="B542" s="5" t="s">
        <v>876</v>
      </c>
      <c r="C542" s="5" t="s">
        <v>3997</v>
      </c>
      <c r="D542" s="5" t="s">
        <v>3998</v>
      </c>
      <c r="E542" s="5" t="s">
        <v>3977</v>
      </c>
      <c r="F542" s="5" t="s">
        <v>265</v>
      </c>
      <c r="G542" s="5" t="s">
        <v>345</v>
      </c>
      <c r="H542" s="5"/>
      <c r="I542" s="5" t="s">
        <v>1694</v>
      </c>
      <c r="J542" s="5" t="s">
        <v>877</v>
      </c>
      <c r="K542" s="5" t="s">
        <v>878</v>
      </c>
    </row>
    <row r="543" customFormat="false" ht="15" hidden="false" customHeight="false" outlineLevel="0" collapsed="false">
      <c r="A543" s="5" t="s">
        <v>66</v>
      </c>
      <c r="B543" s="5" t="s">
        <v>936</v>
      </c>
      <c r="C543" s="5" t="s">
        <v>3999</v>
      </c>
      <c r="D543" s="5" t="s">
        <v>4000</v>
      </c>
      <c r="E543" s="5" t="s">
        <v>3977</v>
      </c>
      <c r="F543" s="5" t="s">
        <v>265</v>
      </c>
      <c r="G543" s="5" t="s">
        <v>345</v>
      </c>
      <c r="H543" s="5" t="n">
        <v>2</v>
      </c>
      <c r="I543" s="5" t="s">
        <v>1800</v>
      </c>
      <c r="J543" s="5" t="s">
        <v>937</v>
      </c>
      <c r="K543" s="5" t="s">
        <v>938</v>
      </c>
    </row>
    <row r="544" customFormat="false" ht="15" hidden="false" customHeight="false" outlineLevel="0" collapsed="false">
      <c r="A544" s="5" t="s">
        <v>69</v>
      </c>
      <c r="B544" s="5" t="s">
        <v>4001</v>
      </c>
      <c r="C544" s="5" t="s">
        <v>4002</v>
      </c>
      <c r="D544" s="5"/>
      <c r="E544" s="5" t="s">
        <v>3977</v>
      </c>
      <c r="F544" s="5" t="s">
        <v>265</v>
      </c>
      <c r="G544" s="5" t="s">
        <v>345</v>
      </c>
      <c r="H544" s="5" t="n">
        <v>2</v>
      </c>
      <c r="I544" s="5" t="s">
        <v>1709</v>
      </c>
      <c r="J544" s="5" t="s">
        <v>4003</v>
      </c>
      <c r="K544" s="5" t="s">
        <v>4004</v>
      </c>
    </row>
    <row r="545" customFormat="false" ht="15" hidden="false" customHeight="false" outlineLevel="0" collapsed="false">
      <c r="A545" s="5" t="s">
        <v>80</v>
      </c>
      <c r="B545" s="5" t="s">
        <v>1197</v>
      </c>
      <c r="C545" s="5" t="s">
        <v>4005</v>
      </c>
      <c r="D545" s="5" t="s">
        <v>4006</v>
      </c>
      <c r="E545" s="5" t="s">
        <v>3977</v>
      </c>
      <c r="F545" s="5" t="s">
        <v>265</v>
      </c>
      <c r="G545" s="5" t="s">
        <v>345</v>
      </c>
      <c r="H545" s="5" t="n">
        <v>2</v>
      </c>
      <c r="I545" s="5" t="s">
        <v>1647</v>
      </c>
      <c r="J545" s="5" t="s">
        <v>1198</v>
      </c>
      <c r="K545" s="5" t="s">
        <v>1199</v>
      </c>
    </row>
    <row r="546" customFormat="false" ht="15" hidden="false" customHeight="false" outlineLevel="0" collapsed="false">
      <c r="A546" s="5" t="s">
        <v>69</v>
      </c>
      <c r="B546" s="5" t="s">
        <v>4007</v>
      </c>
      <c r="C546" s="5" t="s">
        <v>4008</v>
      </c>
      <c r="D546" s="5" t="s">
        <v>4009</v>
      </c>
      <c r="E546" s="5" t="s">
        <v>3977</v>
      </c>
      <c r="F546" s="5" t="s">
        <v>265</v>
      </c>
      <c r="G546" s="5" t="s">
        <v>345</v>
      </c>
      <c r="H546" s="5" t="n">
        <v>3</v>
      </c>
      <c r="I546" s="5" t="s">
        <v>1664</v>
      </c>
      <c r="J546" s="5" t="s">
        <v>4010</v>
      </c>
      <c r="K546" s="5" t="s">
        <v>4011</v>
      </c>
    </row>
    <row r="547" customFormat="false" ht="15" hidden="false" customHeight="false" outlineLevel="0" collapsed="false">
      <c r="A547" s="5" t="s">
        <v>40</v>
      </c>
      <c r="B547" s="5" t="s">
        <v>4012</v>
      </c>
      <c r="C547" s="5" t="s">
        <v>4013</v>
      </c>
      <c r="D547" s="5" t="s">
        <v>4014</v>
      </c>
      <c r="E547" s="5" t="s">
        <v>3977</v>
      </c>
      <c r="F547" s="5" t="s">
        <v>265</v>
      </c>
      <c r="G547" s="5" t="s">
        <v>345</v>
      </c>
      <c r="H547" s="5" t="n">
        <v>3</v>
      </c>
      <c r="I547" s="5" t="s">
        <v>2429</v>
      </c>
      <c r="J547" s="5" t="s">
        <v>4015</v>
      </c>
      <c r="K547" s="5" t="s">
        <v>4016</v>
      </c>
    </row>
    <row r="548" customFormat="false" ht="15" hidden="false" customHeight="false" outlineLevel="0" collapsed="false">
      <c r="A548" s="5" t="s">
        <v>43</v>
      </c>
      <c r="B548" s="5" t="s">
        <v>4017</v>
      </c>
      <c r="C548" s="5" t="s">
        <v>4018</v>
      </c>
      <c r="D548" s="5" t="s">
        <v>4019</v>
      </c>
      <c r="E548" s="5" t="s">
        <v>3977</v>
      </c>
      <c r="F548" s="5" t="s">
        <v>265</v>
      </c>
      <c r="G548" s="5" t="s">
        <v>345</v>
      </c>
      <c r="H548" s="5" t="n">
        <v>5</v>
      </c>
      <c r="I548" s="5" t="s">
        <v>1858</v>
      </c>
      <c r="J548" s="5" t="s">
        <v>4020</v>
      </c>
      <c r="K548" s="5" t="s">
        <v>4021</v>
      </c>
    </row>
    <row r="549" customFormat="false" ht="15" hidden="false" customHeight="false" outlineLevel="0" collapsed="false">
      <c r="A549" s="5" t="s">
        <v>51</v>
      </c>
      <c r="B549" s="5" t="s">
        <v>660</v>
      </c>
      <c r="C549" s="5" t="s">
        <v>4022</v>
      </c>
      <c r="D549" s="5" t="s">
        <v>4023</v>
      </c>
      <c r="E549" s="5" t="s">
        <v>3977</v>
      </c>
      <c r="F549" s="5" t="s">
        <v>265</v>
      </c>
      <c r="G549" s="5" t="s">
        <v>345</v>
      </c>
      <c r="H549" s="5" t="n">
        <v>3</v>
      </c>
      <c r="I549" s="5" t="s">
        <v>1709</v>
      </c>
      <c r="J549" s="5" t="s">
        <v>661</v>
      </c>
      <c r="K549" s="5" t="s">
        <v>662</v>
      </c>
    </row>
    <row r="550" customFormat="false" ht="15" hidden="false" customHeight="false" outlineLevel="0" collapsed="false">
      <c r="A550" s="5" t="s">
        <v>63</v>
      </c>
      <c r="B550" s="5" t="s">
        <v>4024</v>
      </c>
      <c r="C550" s="5" t="s">
        <v>4025</v>
      </c>
      <c r="D550" s="5" t="s">
        <v>4026</v>
      </c>
      <c r="E550" s="5" t="s">
        <v>3977</v>
      </c>
      <c r="F550" s="5" t="s">
        <v>265</v>
      </c>
      <c r="G550" s="5" t="s">
        <v>345</v>
      </c>
      <c r="H550" s="5" t="n">
        <v>2</v>
      </c>
      <c r="I550" s="5" t="s">
        <v>1664</v>
      </c>
      <c r="J550" s="5" t="s">
        <v>4027</v>
      </c>
      <c r="K550" s="5" t="s">
        <v>4028</v>
      </c>
    </row>
    <row r="551" customFormat="false" ht="15" hidden="false" customHeight="false" outlineLevel="0" collapsed="false">
      <c r="A551" s="5" t="s">
        <v>86</v>
      </c>
      <c r="B551" s="5" t="s">
        <v>4029</v>
      </c>
      <c r="C551" s="5" t="s">
        <v>4030</v>
      </c>
      <c r="D551" s="5" t="s">
        <v>4031</v>
      </c>
      <c r="E551" s="5" t="s">
        <v>3977</v>
      </c>
      <c r="F551" s="5" t="s">
        <v>265</v>
      </c>
      <c r="G551" s="5" t="s">
        <v>345</v>
      </c>
      <c r="H551" s="5" t="n">
        <v>5</v>
      </c>
      <c r="I551" s="5" t="s">
        <v>2292</v>
      </c>
      <c r="J551" s="5" t="s">
        <v>4032</v>
      </c>
      <c r="K551" s="5" t="s">
        <v>4033</v>
      </c>
    </row>
    <row r="552" customFormat="false" ht="15" hidden="false" customHeight="false" outlineLevel="0" collapsed="false">
      <c r="A552" s="5" t="s">
        <v>89</v>
      </c>
      <c r="B552" s="5" t="s">
        <v>4034</v>
      </c>
      <c r="C552" s="5" t="s">
        <v>4035</v>
      </c>
      <c r="D552" s="5" t="s">
        <v>4036</v>
      </c>
      <c r="E552" s="5" t="s">
        <v>3977</v>
      </c>
      <c r="F552" s="5" t="s">
        <v>265</v>
      </c>
      <c r="G552" s="5" t="s">
        <v>345</v>
      </c>
      <c r="H552" s="5" t="n">
        <v>3</v>
      </c>
      <c r="I552" s="5" t="s">
        <v>1847</v>
      </c>
      <c r="J552" s="5" t="s">
        <v>4037</v>
      </c>
      <c r="K552" s="5" t="s">
        <v>4038</v>
      </c>
    </row>
    <row r="553" customFormat="false" ht="15" hidden="false" customHeight="false" outlineLevel="0" collapsed="false">
      <c r="A553" s="5" t="s">
        <v>63</v>
      </c>
      <c r="B553" s="5" t="s">
        <v>4039</v>
      </c>
      <c r="C553" s="5" t="s">
        <v>4040</v>
      </c>
      <c r="D553" s="5" t="s">
        <v>4041</v>
      </c>
      <c r="E553" s="5" t="s">
        <v>3977</v>
      </c>
      <c r="F553" s="5" t="s">
        <v>265</v>
      </c>
      <c r="G553" s="5" t="s">
        <v>345</v>
      </c>
      <c r="H553" s="5" t="n">
        <v>2</v>
      </c>
      <c r="I553" s="5" t="s">
        <v>1656</v>
      </c>
      <c r="J553" s="5" t="s">
        <v>4042</v>
      </c>
      <c r="K553" s="5" t="s">
        <v>4043</v>
      </c>
    </row>
    <row r="554" customFormat="false" ht="15" hidden="false" customHeight="false" outlineLevel="0" collapsed="false">
      <c r="A554" s="5" t="s">
        <v>51</v>
      </c>
      <c r="B554" s="5" t="s">
        <v>4044</v>
      </c>
      <c r="C554" s="5" t="s">
        <v>4045</v>
      </c>
      <c r="D554" s="5" t="s">
        <v>4046</v>
      </c>
      <c r="E554" s="5" t="s">
        <v>3977</v>
      </c>
      <c r="F554" s="5" t="s">
        <v>265</v>
      </c>
      <c r="G554" s="5" t="s">
        <v>345</v>
      </c>
      <c r="H554" s="5" t="n">
        <v>4</v>
      </c>
      <c r="I554" s="5" t="s">
        <v>1709</v>
      </c>
      <c r="J554" s="5" t="s">
        <v>4047</v>
      </c>
      <c r="K554" s="5" t="s">
        <v>4048</v>
      </c>
    </row>
    <row r="555" customFormat="false" ht="15" hidden="false" customHeight="false" outlineLevel="0" collapsed="false">
      <c r="A555" s="5" t="s">
        <v>51</v>
      </c>
      <c r="B555" s="5" t="s">
        <v>664</v>
      </c>
      <c r="C555" s="5" t="s">
        <v>4049</v>
      </c>
      <c r="D555" s="5" t="s">
        <v>4050</v>
      </c>
      <c r="E555" s="5" t="s">
        <v>3977</v>
      </c>
      <c r="F555" s="5" t="s">
        <v>265</v>
      </c>
      <c r="G555" s="5" t="s">
        <v>436</v>
      </c>
      <c r="H555" s="5" t="n">
        <v>2</v>
      </c>
      <c r="I555" s="5" t="s">
        <v>1709</v>
      </c>
      <c r="J555" s="5" t="s">
        <v>665</v>
      </c>
      <c r="K555" s="5" t="s">
        <v>666</v>
      </c>
    </row>
    <row r="556" customFormat="false" ht="15" hidden="false" customHeight="false" outlineLevel="0" collapsed="false">
      <c r="A556" s="5" t="s">
        <v>92</v>
      </c>
      <c r="B556" s="5" t="s">
        <v>4051</v>
      </c>
      <c r="C556" s="5" t="s">
        <v>4052</v>
      </c>
      <c r="D556" s="5"/>
      <c r="E556" s="5" t="s">
        <v>3977</v>
      </c>
      <c r="F556" s="5" t="s">
        <v>265</v>
      </c>
      <c r="G556" s="5" t="s">
        <v>345</v>
      </c>
      <c r="H556" s="5" t="n">
        <v>3</v>
      </c>
      <c r="I556" s="5" t="s">
        <v>1811</v>
      </c>
      <c r="J556" s="5" t="s">
        <v>4053</v>
      </c>
      <c r="K556" s="5" t="s">
        <v>4054</v>
      </c>
    </row>
    <row r="557" customFormat="false" ht="15" hidden="false" customHeight="false" outlineLevel="0" collapsed="false">
      <c r="A557" s="5" t="s">
        <v>40</v>
      </c>
      <c r="B557" s="5" t="s">
        <v>4055</v>
      </c>
      <c r="C557" s="5" t="s">
        <v>4056</v>
      </c>
      <c r="D557" s="5" t="s">
        <v>4057</v>
      </c>
      <c r="E557" s="5" t="s">
        <v>3977</v>
      </c>
      <c r="F557" s="5" t="s">
        <v>265</v>
      </c>
      <c r="G557" s="5" t="s">
        <v>345</v>
      </c>
      <c r="H557" s="5" t="n">
        <v>2</v>
      </c>
      <c r="I557" s="5" t="s">
        <v>1688</v>
      </c>
      <c r="J557" s="5" t="s">
        <v>4058</v>
      </c>
      <c r="K557" s="5" t="s">
        <v>4059</v>
      </c>
    </row>
    <row r="558" customFormat="false" ht="15" hidden="false" customHeight="false" outlineLevel="0" collapsed="false">
      <c r="A558" s="5" t="s">
        <v>86</v>
      </c>
      <c r="B558" s="5" t="s">
        <v>1309</v>
      </c>
      <c r="C558" s="5" t="s">
        <v>4060</v>
      </c>
      <c r="D558" s="5" t="s">
        <v>4061</v>
      </c>
      <c r="E558" s="5" t="s">
        <v>3977</v>
      </c>
      <c r="F558" s="5" t="s">
        <v>265</v>
      </c>
      <c r="G558" s="5" t="s">
        <v>345</v>
      </c>
      <c r="H558" s="5" t="n">
        <v>2</v>
      </c>
      <c r="I558" s="5" t="s">
        <v>2248</v>
      </c>
      <c r="J558" s="5" t="s">
        <v>1310</v>
      </c>
      <c r="K558" s="5" t="s">
        <v>1311</v>
      </c>
    </row>
    <row r="559" customFormat="false" ht="15" hidden="false" customHeight="false" outlineLevel="0" collapsed="false">
      <c r="A559" s="5" t="s">
        <v>40</v>
      </c>
      <c r="B559" s="5" t="s">
        <v>350</v>
      </c>
      <c r="C559" s="5" t="s">
        <v>4062</v>
      </c>
      <c r="D559" s="5" t="s">
        <v>4063</v>
      </c>
      <c r="E559" s="5" t="s">
        <v>3977</v>
      </c>
      <c r="F559" s="5" t="s">
        <v>104</v>
      </c>
      <c r="G559" s="5" t="s">
        <v>351</v>
      </c>
      <c r="H559" s="5" t="n">
        <v>5</v>
      </c>
      <c r="I559" s="5" t="s">
        <v>1694</v>
      </c>
      <c r="J559" s="5" t="s">
        <v>352</v>
      </c>
      <c r="K559" s="5" t="s">
        <v>353</v>
      </c>
    </row>
    <row r="560" customFormat="false" ht="15" hidden="false" customHeight="false" outlineLevel="0" collapsed="false">
      <c r="A560" s="5" t="s">
        <v>75</v>
      </c>
      <c r="B560" s="5" t="s">
        <v>4064</v>
      </c>
      <c r="C560" s="5" t="s">
        <v>4065</v>
      </c>
      <c r="D560" s="5" t="s">
        <v>4066</v>
      </c>
      <c r="E560" s="5" t="s">
        <v>3977</v>
      </c>
      <c r="F560" s="5" t="s">
        <v>265</v>
      </c>
      <c r="G560" s="5" t="s">
        <v>345</v>
      </c>
      <c r="H560" s="5" t="n">
        <v>3</v>
      </c>
      <c r="I560" s="5" t="s">
        <v>1656</v>
      </c>
      <c r="J560" s="5" t="s">
        <v>4067</v>
      </c>
      <c r="K560" s="5" t="s">
        <v>4068</v>
      </c>
    </row>
    <row r="561" customFormat="false" ht="15" hidden="false" customHeight="false" outlineLevel="0" collapsed="false">
      <c r="A561" s="5" t="s">
        <v>47</v>
      </c>
      <c r="B561" s="5" t="s">
        <v>4069</v>
      </c>
      <c r="C561" s="5" t="s">
        <v>4070</v>
      </c>
      <c r="D561" s="5" t="s">
        <v>4071</v>
      </c>
      <c r="E561" s="5" t="s">
        <v>3977</v>
      </c>
      <c r="F561" s="5" t="s">
        <v>265</v>
      </c>
      <c r="G561" s="5" t="s">
        <v>345</v>
      </c>
      <c r="H561" s="5" t="n">
        <v>6</v>
      </c>
      <c r="I561" s="5" t="s">
        <v>1670</v>
      </c>
      <c r="J561" s="5" t="s">
        <v>4072</v>
      </c>
      <c r="K561" s="5" t="s">
        <v>4073</v>
      </c>
    </row>
    <row r="562" customFormat="false" ht="15" hidden="false" customHeight="false" outlineLevel="0" collapsed="false">
      <c r="A562" s="5" t="s">
        <v>43</v>
      </c>
      <c r="B562" s="5" t="s">
        <v>4074</v>
      </c>
      <c r="C562" s="5" t="s">
        <v>4075</v>
      </c>
      <c r="D562" s="5" t="s">
        <v>4076</v>
      </c>
      <c r="E562" s="5" t="s">
        <v>3977</v>
      </c>
      <c r="F562" s="5" t="s">
        <v>265</v>
      </c>
      <c r="G562" s="5" t="s">
        <v>345</v>
      </c>
      <c r="H562" s="5" t="n">
        <v>2</v>
      </c>
      <c r="I562" s="5" t="s">
        <v>1709</v>
      </c>
      <c r="J562" s="5" t="s">
        <v>4077</v>
      </c>
      <c r="K562" s="5" t="s">
        <v>4078</v>
      </c>
    </row>
    <row r="563" customFormat="false" ht="15" hidden="false" customHeight="false" outlineLevel="0" collapsed="false">
      <c r="A563" s="5" t="s">
        <v>86</v>
      </c>
      <c r="B563" s="5" t="s">
        <v>4079</v>
      </c>
      <c r="C563" s="5" t="s">
        <v>4080</v>
      </c>
      <c r="D563" s="5" t="s">
        <v>4081</v>
      </c>
      <c r="E563" s="5" t="s">
        <v>3977</v>
      </c>
      <c r="F563" s="5" t="s">
        <v>265</v>
      </c>
      <c r="G563" s="5" t="s">
        <v>345</v>
      </c>
      <c r="H563" s="5" t="n">
        <v>3</v>
      </c>
      <c r="I563" s="5" t="s">
        <v>2292</v>
      </c>
      <c r="J563" s="5" t="s">
        <v>4082</v>
      </c>
      <c r="K563" s="5" t="s">
        <v>4083</v>
      </c>
    </row>
    <row r="564" customFormat="false" ht="15" hidden="false" customHeight="false" outlineLevel="0" collapsed="false">
      <c r="A564" s="5" t="s">
        <v>75</v>
      </c>
      <c r="B564" s="5" t="s">
        <v>4084</v>
      </c>
      <c r="C564" s="5" t="s">
        <v>4085</v>
      </c>
      <c r="D564" s="5"/>
      <c r="E564" s="5" t="s">
        <v>3977</v>
      </c>
      <c r="F564" s="5" t="s">
        <v>265</v>
      </c>
      <c r="G564" s="5" t="s">
        <v>345</v>
      </c>
      <c r="H564" s="5" t="n">
        <v>2</v>
      </c>
      <c r="I564" s="5" t="s">
        <v>1709</v>
      </c>
      <c r="J564" s="5" t="s">
        <v>4086</v>
      </c>
      <c r="K564" s="5" t="s">
        <v>4087</v>
      </c>
    </row>
    <row r="565" customFormat="false" ht="15" hidden="false" customHeight="false" outlineLevel="0" collapsed="false">
      <c r="A565" s="5" t="s">
        <v>43</v>
      </c>
      <c r="B565" s="5" t="s">
        <v>435</v>
      </c>
      <c r="C565" s="5" t="s">
        <v>4088</v>
      </c>
      <c r="D565" s="5" t="s">
        <v>4089</v>
      </c>
      <c r="E565" s="5" t="s">
        <v>3977</v>
      </c>
      <c r="F565" s="5" t="s">
        <v>265</v>
      </c>
      <c r="G565" s="5" t="s">
        <v>436</v>
      </c>
      <c r="H565" s="5" t="n">
        <v>9</v>
      </c>
      <c r="I565" s="5" t="s">
        <v>1971</v>
      </c>
      <c r="J565" s="5" t="s">
        <v>437</v>
      </c>
      <c r="K565" s="5" t="s">
        <v>438</v>
      </c>
    </row>
    <row r="566" customFormat="false" ht="15" hidden="false" customHeight="false" outlineLevel="0" collapsed="false">
      <c r="A566" s="5" t="s">
        <v>40</v>
      </c>
      <c r="B566" s="5" t="s">
        <v>355</v>
      </c>
      <c r="C566" s="5" t="s">
        <v>4090</v>
      </c>
      <c r="D566" s="5" t="s">
        <v>4091</v>
      </c>
      <c r="E566" s="5" t="s">
        <v>3977</v>
      </c>
      <c r="F566" s="5" t="s">
        <v>265</v>
      </c>
      <c r="G566" s="5" t="s">
        <v>345</v>
      </c>
      <c r="H566" s="5"/>
      <c r="I566" s="5" t="s">
        <v>1640</v>
      </c>
      <c r="J566" s="5" t="s">
        <v>356</v>
      </c>
      <c r="K566" s="5" t="s">
        <v>357</v>
      </c>
    </row>
    <row r="567" customFormat="false" ht="15" hidden="false" customHeight="false" outlineLevel="0" collapsed="false">
      <c r="A567" s="5" t="s">
        <v>86</v>
      </c>
      <c r="B567" s="5" t="s">
        <v>4092</v>
      </c>
      <c r="C567" s="5" t="s">
        <v>4093</v>
      </c>
      <c r="D567" s="5" t="s">
        <v>4094</v>
      </c>
      <c r="E567" s="5" t="s">
        <v>3977</v>
      </c>
      <c r="F567" s="5" t="s">
        <v>265</v>
      </c>
      <c r="G567" s="5" t="s">
        <v>345</v>
      </c>
      <c r="H567" s="5" t="n">
        <v>2</v>
      </c>
      <c r="I567" s="5" t="s">
        <v>1709</v>
      </c>
      <c r="J567" s="5" t="s">
        <v>4095</v>
      </c>
      <c r="K567" s="5" t="s">
        <v>4096</v>
      </c>
    </row>
    <row r="568" customFormat="false" ht="15" hidden="false" customHeight="false" outlineLevel="0" collapsed="false">
      <c r="A568" s="5" t="s">
        <v>95</v>
      </c>
      <c r="B568" s="5" t="s">
        <v>1491</v>
      </c>
      <c r="C568" s="5" t="s">
        <v>4097</v>
      </c>
      <c r="D568" s="5" t="s">
        <v>4098</v>
      </c>
      <c r="E568" s="5" t="s">
        <v>3977</v>
      </c>
      <c r="F568" s="5" t="s">
        <v>265</v>
      </c>
      <c r="G568" s="5" t="s">
        <v>345</v>
      </c>
      <c r="H568" s="5" t="n">
        <v>1</v>
      </c>
      <c r="I568" s="5" t="s">
        <v>4099</v>
      </c>
      <c r="J568" s="5" t="s">
        <v>1492</v>
      </c>
      <c r="K568" s="5" t="s">
        <v>1493</v>
      </c>
    </row>
    <row r="569" customFormat="false" ht="15" hidden="false" customHeight="false" outlineLevel="0" collapsed="false">
      <c r="A569" s="5" t="s">
        <v>40</v>
      </c>
      <c r="B569" s="5" t="s">
        <v>4100</v>
      </c>
      <c r="C569" s="5" t="s">
        <v>4101</v>
      </c>
      <c r="D569" s="5" t="s">
        <v>4102</v>
      </c>
      <c r="E569" s="5" t="s">
        <v>3977</v>
      </c>
      <c r="F569" s="5" t="s">
        <v>265</v>
      </c>
      <c r="G569" s="5" t="s">
        <v>382</v>
      </c>
      <c r="H569" s="5" t="n">
        <v>7</v>
      </c>
      <c r="I569" s="5" t="s">
        <v>1709</v>
      </c>
      <c r="J569" s="5" t="s">
        <v>4103</v>
      </c>
      <c r="K569" s="5" t="s">
        <v>4104</v>
      </c>
    </row>
    <row r="570" customFormat="false" ht="15" hidden="false" customHeight="false" outlineLevel="0" collapsed="false">
      <c r="A570" s="5" t="s">
        <v>60</v>
      </c>
      <c r="B570" s="5" t="s">
        <v>832</v>
      </c>
      <c r="C570" s="5" t="s">
        <v>4105</v>
      </c>
      <c r="D570" s="5" t="s">
        <v>4106</v>
      </c>
      <c r="E570" s="5" t="s">
        <v>3977</v>
      </c>
      <c r="F570" s="5" t="s">
        <v>265</v>
      </c>
      <c r="G570" s="5" t="s">
        <v>345</v>
      </c>
      <c r="H570" s="5" t="n">
        <v>2</v>
      </c>
      <c r="I570" s="5" t="s">
        <v>1709</v>
      </c>
      <c r="J570" s="5" t="s">
        <v>833</v>
      </c>
      <c r="K570" s="5" t="s">
        <v>834</v>
      </c>
    </row>
    <row r="571" customFormat="false" ht="15" hidden="false" customHeight="false" outlineLevel="0" collapsed="false">
      <c r="A571" s="5" t="s">
        <v>47</v>
      </c>
      <c r="B571" s="5" t="s">
        <v>4107</v>
      </c>
      <c r="C571" s="5" t="s">
        <v>4108</v>
      </c>
      <c r="D571" s="5" t="s">
        <v>4109</v>
      </c>
      <c r="E571" s="5" t="s">
        <v>3977</v>
      </c>
      <c r="F571" s="5" t="s">
        <v>104</v>
      </c>
      <c r="G571" s="5" t="s">
        <v>1202</v>
      </c>
      <c r="H571" s="5" t="n">
        <v>10</v>
      </c>
      <c r="I571" s="5" t="s">
        <v>1670</v>
      </c>
      <c r="J571" s="5" t="s">
        <v>4110</v>
      </c>
      <c r="K571" s="5" t="s">
        <v>4111</v>
      </c>
    </row>
    <row r="572" customFormat="false" ht="15" hidden="false" customHeight="false" outlineLevel="0" collapsed="false">
      <c r="A572" s="5" t="s">
        <v>43</v>
      </c>
      <c r="B572" s="5" t="s">
        <v>4112</v>
      </c>
      <c r="C572" s="5" t="s">
        <v>4113</v>
      </c>
      <c r="D572" s="5" t="s">
        <v>4114</v>
      </c>
      <c r="E572" s="5" t="s">
        <v>3977</v>
      </c>
      <c r="F572" s="5" t="s">
        <v>265</v>
      </c>
      <c r="G572" s="5" t="s">
        <v>345</v>
      </c>
      <c r="H572" s="5" t="n">
        <v>2</v>
      </c>
      <c r="I572" s="5" t="s">
        <v>1709</v>
      </c>
      <c r="J572" s="5" t="s">
        <v>4115</v>
      </c>
      <c r="K572" s="5" t="s">
        <v>4116</v>
      </c>
    </row>
    <row r="573" customFormat="false" ht="15" hidden="false" customHeight="false" outlineLevel="0" collapsed="false">
      <c r="A573" s="5" t="s">
        <v>66</v>
      </c>
      <c r="B573" s="5" t="s">
        <v>4117</v>
      </c>
      <c r="C573" s="5" t="s">
        <v>4118</v>
      </c>
      <c r="D573" s="5" t="s">
        <v>4119</v>
      </c>
      <c r="E573" s="5" t="s">
        <v>3977</v>
      </c>
      <c r="F573" s="5" t="s">
        <v>104</v>
      </c>
      <c r="G573" s="5" t="s">
        <v>4120</v>
      </c>
      <c r="H573" s="5" t="n">
        <v>5</v>
      </c>
      <c r="I573" s="5" t="s">
        <v>1656</v>
      </c>
      <c r="J573" s="5" t="s">
        <v>4121</v>
      </c>
      <c r="K573" s="5" t="s">
        <v>4122</v>
      </c>
    </row>
    <row r="574" customFormat="false" ht="15" hidden="false" customHeight="false" outlineLevel="0" collapsed="false">
      <c r="A574" s="5" t="s">
        <v>51</v>
      </c>
      <c r="B574" s="5" t="s">
        <v>4123</v>
      </c>
      <c r="C574" s="5" t="s">
        <v>4124</v>
      </c>
      <c r="D574" s="5" t="s">
        <v>4125</v>
      </c>
      <c r="E574" s="5" t="s">
        <v>3977</v>
      </c>
      <c r="F574" s="5" t="s">
        <v>265</v>
      </c>
      <c r="G574" s="5" t="s">
        <v>345</v>
      </c>
      <c r="H574" s="5" t="n">
        <v>5</v>
      </c>
      <c r="I574" s="5" t="s">
        <v>1971</v>
      </c>
      <c r="J574" s="5" t="s">
        <v>4126</v>
      </c>
      <c r="K574" s="5" t="s">
        <v>4127</v>
      </c>
    </row>
    <row r="575" customFormat="false" ht="15" hidden="false" customHeight="false" outlineLevel="0" collapsed="false">
      <c r="A575" s="5" t="s">
        <v>63</v>
      </c>
      <c r="B575" s="5" t="s">
        <v>4128</v>
      </c>
      <c r="C575" s="5" t="s">
        <v>4129</v>
      </c>
      <c r="D575" s="5" t="s">
        <v>4130</v>
      </c>
      <c r="E575" s="5" t="s">
        <v>3977</v>
      </c>
      <c r="F575" s="5" t="s">
        <v>265</v>
      </c>
      <c r="G575" s="5" t="s">
        <v>345</v>
      </c>
      <c r="H575" s="5" t="n">
        <v>1</v>
      </c>
      <c r="I575" s="5" t="s">
        <v>1800</v>
      </c>
      <c r="J575" s="5" t="s">
        <v>4131</v>
      </c>
      <c r="K575" s="5" t="s">
        <v>4132</v>
      </c>
    </row>
    <row r="576" customFormat="false" ht="15" hidden="false" customHeight="false" outlineLevel="0" collapsed="false">
      <c r="A576" s="5" t="s">
        <v>54</v>
      </c>
      <c r="B576" s="5" t="s">
        <v>4133</v>
      </c>
      <c r="C576" s="5" t="s">
        <v>4134</v>
      </c>
      <c r="D576" s="5" t="s">
        <v>4135</v>
      </c>
      <c r="E576" s="5" t="s">
        <v>3977</v>
      </c>
      <c r="F576" s="5" t="s">
        <v>265</v>
      </c>
      <c r="G576" s="5" t="s">
        <v>345</v>
      </c>
      <c r="H576" s="5" t="n">
        <v>4</v>
      </c>
      <c r="I576" s="5" t="s">
        <v>1882</v>
      </c>
      <c r="J576" s="5" t="s">
        <v>4136</v>
      </c>
      <c r="K576" s="5" t="s">
        <v>4137</v>
      </c>
    </row>
    <row r="577" customFormat="false" ht="15" hidden="false" customHeight="false" outlineLevel="0" collapsed="false">
      <c r="A577" s="5" t="s">
        <v>72</v>
      </c>
      <c r="B577" s="5" t="s">
        <v>1069</v>
      </c>
      <c r="C577" s="5" t="s">
        <v>4138</v>
      </c>
      <c r="D577" s="5" t="s">
        <v>4139</v>
      </c>
      <c r="E577" s="5" t="s">
        <v>3977</v>
      </c>
      <c r="F577" s="5" t="s">
        <v>265</v>
      </c>
      <c r="G577" s="5" t="s">
        <v>345</v>
      </c>
      <c r="H577" s="5" t="n">
        <v>2</v>
      </c>
      <c r="I577" s="5" t="s">
        <v>1664</v>
      </c>
      <c r="J577" s="5" t="s">
        <v>1070</v>
      </c>
      <c r="K577" s="5" t="s">
        <v>1071</v>
      </c>
    </row>
    <row r="578" customFormat="false" ht="15" hidden="false" customHeight="false" outlineLevel="0" collapsed="false">
      <c r="A578" s="5" t="s">
        <v>63</v>
      </c>
      <c r="B578" s="5" t="s">
        <v>4140</v>
      </c>
      <c r="C578" s="5" t="s">
        <v>4141</v>
      </c>
      <c r="D578" s="5" t="s">
        <v>4142</v>
      </c>
      <c r="E578" s="5" t="s">
        <v>3977</v>
      </c>
      <c r="F578" s="5" t="s">
        <v>265</v>
      </c>
      <c r="G578" s="5" t="s">
        <v>345</v>
      </c>
      <c r="H578" s="5" t="n">
        <v>1</v>
      </c>
      <c r="I578" s="5" t="s">
        <v>1656</v>
      </c>
      <c r="J578" s="5" t="s">
        <v>4143</v>
      </c>
      <c r="K578" s="5" t="s">
        <v>4144</v>
      </c>
    </row>
    <row r="579" customFormat="false" ht="15" hidden="false" customHeight="false" outlineLevel="0" collapsed="false">
      <c r="A579" s="5" t="s">
        <v>89</v>
      </c>
      <c r="B579" s="5" t="s">
        <v>1388</v>
      </c>
      <c r="C579" s="5" t="s">
        <v>4145</v>
      </c>
      <c r="D579" s="5"/>
      <c r="E579" s="5" t="s">
        <v>3977</v>
      </c>
      <c r="F579" s="5" t="s">
        <v>265</v>
      </c>
      <c r="G579" s="5" t="s">
        <v>436</v>
      </c>
      <c r="H579" s="5" t="n">
        <v>2</v>
      </c>
      <c r="I579" s="5" t="s">
        <v>1694</v>
      </c>
      <c r="J579" s="5" t="s">
        <v>1389</v>
      </c>
      <c r="K579" s="5" t="s">
        <v>1390</v>
      </c>
    </row>
    <row r="580" customFormat="false" ht="15" hidden="false" customHeight="false" outlineLevel="0" collapsed="false">
      <c r="A580" s="5" t="s">
        <v>63</v>
      </c>
      <c r="B580" s="5" t="s">
        <v>884</v>
      </c>
      <c r="C580" s="5" t="s">
        <v>4146</v>
      </c>
      <c r="D580" s="5" t="s">
        <v>4147</v>
      </c>
      <c r="E580" s="5" t="s">
        <v>3977</v>
      </c>
      <c r="F580" s="5" t="s">
        <v>265</v>
      </c>
      <c r="G580" s="5" t="s">
        <v>345</v>
      </c>
      <c r="H580" s="5" t="n">
        <v>4</v>
      </c>
      <c r="I580" s="5" t="s">
        <v>1709</v>
      </c>
      <c r="J580" s="5" t="s">
        <v>885</v>
      </c>
      <c r="K580" s="5" t="s">
        <v>886</v>
      </c>
    </row>
    <row r="581" customFormat="false" ht="15" hidden="false" customHeight="false" outlineLevel="0" collapsed="false">
      <c r="A581" s="5" t="s">
        <v>63</v>
      </c>
      <c r="B581" s="5" t="s">
        <v>4148</v>
      </c>
      <c r="C581" s="5" t="s">
        <v>4149</v>
      </c>
      <c r="D581" s="5" t="s">
        <v>4150</v>
      </c>
      <c r="E581" s="5" t="s">
        <v>3977</v>
      </c>
      <c r="F581" s="5" t="s">
        <v>265</v>
      </c>
      <c r="G581" s="5" t="s">
        <v>345</v>
      </c>
      <c r="H581" s="5" t="n">
        <v>6</v>
      </c>
      <c r="I581" s="5" t="s">
        <v>1656</v>
      </c>
      <c r="J581" s="5" t="s">
        <v>4151</v>
      </c>
      <c r="K581" s="5" t="s">
        <v>4152</v>
      </c>
    </row>
    <row r="582" customFormat="false" ht="15" hidden="false" customHeight="false" outlineLevel="0" collapsed="false">
      <c r="A582" s="5" t="s">
        <v>86</v>
      </c>
      <c r="B582" s="5" t="s">
        <v>4153</v>
      </c>
      <c r="C582" s="5" t="s">
        <v>4154</v>
      </c>
      <c r="D582" s="5" t="s">
        <v>4155</v>
      </c>
      <c r="E582" s="5" t="s">
        <v>3977</v>
      </c>
      <c r="F582" s="5" t="s">
        <v>265</v>
      </c>
      <c r="G582" s="5" t="s">
        <v>345</v>
      </c>
      <c r="H582" s="5" t="n">
        <v>2</v>
      </c>
      <c r="I582" s="5" t="s">
        <v>2292</v>
      </c>
      <c r="J582" s="5" t="s">
        <v>4156</v>
      </c>
      <c r="K582" s="5" t="s">
        <v>4157</v>
      </c>
    </row>
    <row r="583" customFormat="false" ht="15" hidden="false" customHeight="false" outlineLevel="0" collapsed="false">
      <c r="A583" s="5" t="s">
        <v>80</v>
      </c>
      <c r="B583" s="5" t="s">
        <v>1206</v>
      </c>
      <c r="C583" s="5" t="s">
        <v>4158</v>
      </c>
      <c r="D583" s="5" t="s">
        <v>4159</v>
      </c>
      <c r="E583" s="5" t="s">
        <v>3977</v>
      </c>
      <c r="F583" s="5" t="s">
        <v>265</v>
      </c>
      <c r="G583" s="5" t="s">
        <v>345</v>
      </c>
      <c r="H583" s="5" t="n">
        <v>8</v>
      </c>
      <c r="I583" s="5" t="s">
        <v>2292</v>
      </c>
      <c r="J583" s="5" t="s">
        <v>1207</v>
      </c>
      <c r="K583" s="5" t="s">
        <v>1208</v>
      </c>
    </row>
    <row r="584" customFormat="false" ht="15" hidden="false" customHeight="false" outlineLevel="0" collapsed="false">
      <c r="A584" s="5" t="s">
        <v>89</v>
      </c>
      <c r="B584" s="5" t="s">
        <v>4160</v>
      </c>
      <c r="C584" s="5" t="s">
        <v>4161</v>
      </c>
      <c r="D584" s="5" t="s">
        <v>4162</v>
      </c>
      <c r="E584" s="5" t="s">
        <v>3977</v>
      </c>
      <c r="F584" s="5" t="s">
        <v>265</v>
      </c>
      <c r="G584" s="5" t="s">
        <v>345</v>
      </c>
      <c r="H584" s="5" t="n">
        <v>2</v>
      </c>
      <c r="I584" s="5" t="s">
        <v>1670</v>
      </c>
      <c r="J584" s="5" t="s">
        <v>4163</v>
      </c>
      <c r="K584" s="5" t="s">
        <v>4164</v>
      </c>
    </row>
    <row r="585" customFormat="false" ht="15" hidden="false" customHeight="false" outlineLevel="0" collapsed="false">
      <c r="A585" s="5" t="s">
        <v>72</v>
      </c>
      <c r="B585" s="5" t="s">
        <v>4165</v>
      </c>
      <c r="C585" s="5" t="s">
        <v>4166</v>
      </c>
      <c r="D585" s="5"/>
      <c r="E585" s="5" t="s">
        <v>3977</v>
      </c>
      <c r="F585" s="5" t="s">
        <v>265</v>
      </c>
      <c r="G585" s="5" t="s">
        <v>345</v>
      </c>
      <c r="H585" s="5" t="n">
        <v>3</v>
      </c>
      <c r="I585" s="5" t="s">
        <v>1709</v>
      </c>
      <c r="J585" s="5" t="s">
        <v>4167</v>
      </c>
      <c r="K585" s="5" t="s">
        <v>4168</v>
      </c>
    </row>
    <row r="586" customFormat="false" ht="15" hidden="false" customHeight="false" outlineLevel="0" collapsed="false">
      <c r="A586" s="5" t="s">
        <v>86</v>
      </c>
      <c r="B586" s="5" t="s">
        <v>4169</v>
      </c>
      <c r="C586" s="5" t="s">
        <v>4170</v>
      </c>
      <c r="D586" s="5" t="s">
        <v>4171</v>
      </c>
      <c r="E586" s="5" t="s">
        <v>3977</v>
      </c>
      <c r="F586" s="5" t="s">
        <v>265</v>
      </c>
      <c r="G586" s="5" t="s">
        <v>345</v>
      </c>
      <c r="H586" s="5" t="n">
        <v>3</v>
      </c>
      <c r="I586" s="5" t="s">
        <v>1709</v>
      </c>
      <c r="J586" s="5" t="s">
        <v>4172</v>
      </c>
      <c r="K586" s="5" t="s">
        <v>4173</v>
      </c>
    </row>
    <row r="587" customFormat="false" ht="15" hidden="false" customHeight="false" outlineLevel="0" collapsed="false">
      <c r="A587" s="5" t="s">
        <v>72</v>
      </c>
      <c r="B587" s="5" t="s">
        <v>1073</v>
      </c>
      <c r="C587" s="5" t="s">
        <v>4174</v>
      </c>
      <c r="D587" s="5" t="s">
        <v>4175</v>
      </c>
      <c r="E587" s="5" t="s">
        <v>3977</v>
      </c>
      <c r="F587" s="5" t="s">
        <v>265</v>
      </c>
      <c r="G587" s="5" t="s">
        <v>345</v>
      </c>
      <c r="H587" s="5" t="n">
        <v>2</v>
      </c>
      <c r="I587" s="5" t="s">
        <v>1709</v>
      </c>
      <c r="J587" s="5" t="s">
        <v>1074</v>
      </c>
      <c r="K587" s="5" t="s">
        <v>1075</v>
      </c>
    </row>
    <row r="588" customFormat="false" ht="15" hidden="false" customHeight="false" outlineLevel="0" collapsed="false">
      <c r="A588" s="5" t="s">
        <v>86</v>
      </c>
      <c r="B588" s="5" t="s">
        <v>4176</v>
      </c>
      <c r="C588" s="5" t="s">
        <v>4177</v>
      </c>
      <c r="D588" s="5" t="s">
        <v>4178</v>
      </c>
      <c r="E588" s="5" t="s">
        <v>3977</v>
      </c>
      <c r="F588" s="5" t="s">
        <v>265</v>
      </c>
      <c r="G588" s="5" t="s">
        <v>345</v>
      </c>
      <c r="H588" s="5" t="n">
        <v>2</v>
      </c>
      <c r="I588" s="5" t="s">
        <v>1647</v>
      </c>
      <c r="J588" s="5" t="s">
        <v>4179</v>
      </c>
      <c r="K588" s="5" t="s">
        <v>4180</v>
      </c>
    </row>
    <row r="589" customFormat="false" ht="15" hidden="false" customHeight="false" outlineLevel="0" collapsed="false">
      <c r="A589" s="5" t="s">
        <v>66</v>
      </c>
      <c r="B589" s="5" t="s">
        <v>948</v>
      </c>
      <c r="C589" s="5" t="s">
        <v>4181</v>
      </c>
      <c r="D589" s="5" t="s">
        <v>4182</v>
      </c>
      <c r="E589" s="5" t="s">
        <v>3977</v>
      </c>
      <c r="F589" s="5" t="s">
        <v>265</v>
      </c>
      <c r="G589" s="5" t="s">
        <v>345</v>
      </c>
      <c r="H589" s="5" t="n">
        <v>2</v>
      </c>
      <c r="I589" s="5" t="s">
        <v>1656</v>
      </c>
      <c r="J589" s="5" t="s">
        <v>949</v>
      </c>
      <c r="K589" s="5" t="s">
        <v>950</v>
      </c>
    </row>
    <row r="590" customFormat="false" ht="15" hidden="false" customHeight="false" outlineLevel="0" collapsed="false">
      <c r="A590" s="5" t="s">
        <v>72</v>
      </c>
      <c r="B590" s="5" t="s">
        <v>4183</v>
      </c>
      <c r="C590" s="5" t="s">
        <v>4184</v>
      </c>
      <c r="D590" s="5" t="s">
        <v>4185</v>
      </c>
      <c r="E590" s="5" t="s">
        <v>3977</v>
      </c>
      <c r="F590" s="5" t="s">
        <v>265</v>
      </c>
      <c r="G590" s="5" t="s">
        <v>345</v>
      </c>
      <c r="H590" s="5" t="n">
        <v>6</v>
      </c>
      <c r="I590" s="5" t="s">
        <v>1709</v>
      </c>
      <c r="J590" s="5" t="s">
        <v>4186</v>
      </c>
      <c r="K590" s="5" t="s">
        <v>4187</v>
      </c>
    </row>
    <row r="591" customFormat="false" ht="15" hidden="false" customHeight="false" outlineLevel="0" collapsed="false">
      <c r="A591" s="5" t="s">
        <v>89</v>
      </c>
      <c r="B591" s="5" t="s">
        <v>4188</v>
      </c>
      <c r="C591" s="5" t="s">
        <v>4189</v>
      </c>
      <c r="D591" s="5" t="s">
        <v>4190</v>
      </c>
      <c r="E591" s="5" t="s">
        <v>3977</v>
      </c>
      <c r="F591" s="5" t="s">
        <v>265</v>
      </c>
      <c r="G591" s="5" t="s">
        <v>345</v>
      </c>
      <c r="H591" s="5" t="n">
        <v>1</v>
      </c>
      <c r="I591" s="5" t="s">
        <v>1652</v>
      </c>
      <c r="J591" s="5" t="s">
        <v>4191</v>
      </c>
      <c r="K591" s="5" t="s">
        <v>4192</v>
      </c>
    </row>
    <row r="592" customFormat="false" ht="15" hidden="false" customHeight="false" outlineLevel="0" collapsed="false">
      <c r="A592" s="5" t="s">
        <v>40</v>
      </c>
      <c r="B592" s="5" t="s">
        <v>4193</v>
      </c>
      <c r="C592" s="5" t="s">
        <v>4194</v>
      </c>
      <c r="D592" s="5" t="s">
        <v>4195</v>
      </c>
      <c r="E592" s="5" t="s">
        <v>3977</v>
      </c>
      <c r="F592" s="5" t="s">
        <v>265</v>
      </c>
      <c r="G592" s="5" t="s">
        <v>345</v>
      </c>
      <c r="H592" s="5" t="n">
        <v>2</v>
      </c>
      <c r="I592" s="5" t="s">
        <v>1966</v>
      </c>
      <c r="J592" s="5" t="s">
        <v>4196</v>
      </c>
      <c r="K592" s="5" t="s">
        <v>4197</v>
      </c>
    </row>
    <row r="593" customFormat="false" ht="15" hidden="false" customHeight="false" outlineLevel="0" collapsed="false">
      <c r="A593" s="5" t="s">
        <v>51</v>
      </c>
      <c r="B593" s="5" t="s">
        <v>672</v>
      </c>
      <c r="C593" s="5" t="s">
        <v>4198</v>
      </c>
      <c r="D593" s="5" t="s">
        <v>4199</v>
      </c>
      <c r="E593" s="5" t="s">
        <v>3977</v>
      </c>
      <c r="F593" s="5" t="s">
        <v>265</v>
      </c>
      <c r="G593" s="5" t="s">
        <v>345</v>
      </c>
      <c r="H593" s="5" t="n">
        <v>3</v>
      </c>
      <c r="I593" s="5" t="s">
        <v>1656</v>
      </c>
      <c r="J593" s="5" t="s">
        <v>673</v>
      </c>
      <c r="K593" s="5" t="s">
        <v>674</v>
      </c>
    </row>
    <row r="594" customFormat="false" ht="15" hidden="false" customHeight="false" outlineLevel="0" collapsed="false">
      <c r="A594" s="5" t="s">
        <v>86</v>
      </c>
      <c r="B594" s="5" t="s">
        <v>1321</v>
      </c>
      <c r="C594" s="5" t="s">
        <v>4200</v>
      </c>
      <c r="D594" s="5"/>
      <c r="E594" s="5" t="s">
        <v>3977</v>
      </c>
      <c r="F594" s="5" t="s">
        <v>265</v>
      </c>
      <c r="G594" s="5" t="s">
        <v>760</v>
      </c>
      <c r="H594" s="5"/>
      <c r="I594" s="5" t="s">
        <v>2292</v>
      </c>
      <c r="J594" s="5" t="s">
        <v>1322</v>
      </c>
      <c r="K594" s="5" t="s">
        <v>1323</v>
      </c>
    </row>
    <row r="595" customFormat="false" ht="15" hidden="false" customHeight="false" outlineLevel="0" collapsed="false">
      <c r="A595" s="5" t="s">
        <v>51</v>
      </c>
      <c r="B595" s="5" t="s">
        <v>676</v>
      </c>
      <c r="C595" s="5" t="s">
        <v>4201</v>
      </c>
      <c r="D595" s="5" t="s">
        <v>4202</v>
      </c>
      <c r="E595" s="5" t="s">
        <v>3977</v>
      </c>
      <c r="F595" s="5" t="s">
        <v>265</v>
      </c>
      <c r="G595" s="5" t="s">
        <v>345</v>
      </c>
      <c r="H595" s="5" t="n">
        <v>2</v>
      </c>
      <c r="I595" s="5" t="s">
        <v>1709</v>
      </c>
      <c r="J595" s="5" t="s">
        <v>677</v>
      </c>
      <c r="K595" s="5" t="s">
        <v>678</v>
      </c>
    </row>
    <row r="596" customFormat="false" ht="15" hidden="false" customHeight="false" outlineLevel="0" collapsed="false">
      <c r="A596" s="5" t="s">
        <v>40</v>
      </c>
      <c r="B596" s="5" t="s">
        <v>4203</v>
      </c>
      <c r="C596" s="5" t="s">
        <v>4204</v>
      </c>
      <c r="D596" s="5" t="s">
        <v>4205</v>
      </c>
      <c r="E596" s="5" t="s">
        <v>3977</v>
      </c>
      <c r="F596" s="5" t="s">
        <v>265</v>
      </c>
      <c r="G596" s="5" t="s">
        <v>345</v>
      </c>
      <c r="H596" s="5" t="n">
        <v>5</v>
      </c>
      <c r="I596" s="5" t="s">
        <v>1966</v>
      </c>
      <c r="J596" s="5" t="s">
        <v>4206</v>
      </c>
      <c r="K596" s="5" t="s">
        <v>4207</v>
      </c>
    </row>
    <row r="597" customFormat="false" ht="15" hidden="false" customHeight="false" outlineLevel="0" collapsed="false">
      <c r="A597" s="5" t="s">
        <v>43</v>
      </c>
      <c r="B597" s="5" t="s">
        <v>4208</v>
      </c>
      <c r="C597" s="5" t="s">
        <v>4209</v>
      </c>
      <c r="D597" s="5" t="s">
        <v>4210</v>
      </c>
      <c r="E597" s="5" t="s">
        <v>3977</v>
      </c>
      <c r="F597" s="5" t="s">
        <v>265</v>
      </c>
      <c r="G597" s="5" t="s">
        <v>345</v>
      </c>
      <c r="H597" s="5" t="n">
        <v>2</v>
      </c>
      <c r="I597" s="5" t="s">
        <v>1709</v>
      </c>
      <c r="J597" s="5" t="s">
        <v>4211</v>
      </c>
      <c r="K597" s="5" t="s">
        <v>4212</v>
      </c>
    </row>
    <row r="598" customFormat="false" ht="15" hidden="false" customHeight="false" outlineLevel="0" collapsed="false">
      <c r="A598" s="5" t="s">
        <v>83</v>
      </c>
      <c r="B598" s="5" t="s">
        <v>4213</v>
      </c>
      <c r="C598" s="5" t="s">
        <v>4214</v>
      </c>
      <c r="D598" s="5" t="s">
        <v>4215</v>
      </c>
      <c r="E598" s="5" t="s">
        <v>3977</v>
      </c>
      <c r="F598" s="5" t="s">
        <v>265</v>
      </c>
      <c r="G598" s="5" t="s">
        <v>345</v>
      </c>
      <c r="H598" s="5" t="n">
        <v>7</v>
      </c>
      <c r="I598" s="5" t="s">
        <v>1876</v>
      </c>
      <c r="J598" s="5" t="s">
        <v>4216</v>
      </c>
      <c r="K598" s="5" t="s">
        <v>4217</v>
      </c>
    </row>
    <row r="599" customFormat="false" ht="15" hidden="false" customHeight="false" outlineLevel="0" collapsed="false">
      <c r="A599" s="5" t="s">
        <v>83</v>
      </c>
      <c r="B599" s="5" t="s">
        <v>4218</v>
      </c>
      <c r="C599" s="5" t="s">
        <v>4219</v>
      </c>
      <c r="D599" s="5" t="s">
        <v>4220</v>
      </c>
      <c r="E599" s="5" t="s">
        <v>3977</v>
      </c>
      <c r="F599" s="5" t="s">
        <v>265</v>
      </c>
      <c r="G599" s="5" t="s">
        <v>345</v>
      </c>
      <c r="H599" s="5" t="n">
        <v>5</v>
      </c>
      <c r="I599" s="5" t="s">
        <v>1876</v>
      </c>
      <c r="J599" s="5" t="s">
        <v>4221</v>
      </c>
      <c r="K599" s="5" t="s">
        <v>4222</v>
      </c>
    </row>
    <row r="600" customFormat="false" ht="15" hidden="false" customHeight="false" outlineLevel="0" collapsed="false">
      <c r="A600" s="5" t="s">
        <v>89</v>
      </c>
      <c r="B600" s="5" t="s">
        <v>4223</v>
      </c>
      <c r="C600" s="5" t="s">
        <v>4224</v>
      </c>
      <c r="D600" s="5" t="s">
        <v>4225</v>
      </c>
      <c r="E600" s="5" t="s">
        <v>3977</v>
      </c>
      <c r="F600" s="5" t="s">
        <v>265</v>
      </c>
      <c r="G600" s="5" t="s">
        <v>345</v>
      </c>
      <c r="H600" s="5" t="n">
        <v>2</v>
      </c>
      <c r="I600" s="5" t="s">
        <v>1709</v>
      </c>
      <c r="J600" s="5" t="s">
        <v>4226</v>
      </c>
      <c r="K600" s="5" t="s">
        <v>4227</v>
      </c>
    </row>
    <row r="601" customFormat="false" ht="15" hidden="false" customHeight="false" outlineLevel="0" collapsed="false">
      <c r="A601" s="5" t="s">
        <v>86</v>
      </c>
      <c r="B601" s="5" t="s">
        <v>1325</v>
      </c>
      <c r="C601" s="5" t="s">
        <v>4228</v>
      </c>
      <c r="D601" s="5" t="s">
        <v>4229</v>
      </c>
      <c r="E601" s="5" t="s">
        <v>3977</v>
      </c>
      <c r="F601" s="5" t="s">
        <v>265</v>
      </c>
      <c r="G601" s="5" t="s">
        <v>345</v>
      </c>
      <c r="H601" s="5" t="n">
        <v>2</v>
      </c>
      <c r="I601" s="5" t="s">
        <v>1656</v>
      </c>
      <c r="J601" s="5" t="s">
        <v>1326</v>
      </c>
      <c r="K601" s="5" t="s">
        <v>1327</v>
      </c>
    </row>
    <row r="602" customFormat="false" ht="15" hidden="false" customHeight="false" outlineLevel="0" collapsed="false">
      <c r="A602" s="5" t="s">
        <v>98</v>
      </c>
      <c r="B602" s="5" t="s">
        <v>4230</v>
      </c>
      <c r="C602" s="5" t="s">
        <v>4231</v>
      </c>
      <c r="D602" s="5" t="s">
        <v>4232</v>
      </c>
      <c r="E602" s="5" t="s">
        <v>3977</v>
      </c>
      <c r="F602" s="5" t="s">
        <v>265</v>
      </c>
      <c r="G602" s="5" t="s">
        <v>345</v>
      </c>
      <c r="H602" s="5" t="n">
        <v>2</v>
      </c>
      <c r="I602" s="5" t="s">
        <v>1635</v>
      </c>
      <c r="J602" s="5" t="s">
        <v>4233</v>
      </c>
      <c r="K602" s="5" t="s">
        <v>4234</v>
      </c>
    </row>
    <row r="603" customFormat="false" ht="15" hidden="false" customHeight="false" outlineLevel="0" collapsed="false">
      <c r="A603" s="5" t="s">
        <v>43</v>
      </c>
      <c r="B603" s="5" t="s">
        <v>4235</v>
      </c>
      <c r="C603" s="5" t="s">
        <v>4236</v>
      </c>
      <c r="D603" s="5" t="s">
        <v>4237</v>
      </c>
      <c r="E603" s="5" t="s">
        <v>3977</v>
      </c>
      <c r="F603" s="5" t="s">
        <v>265</v>
      </c>
      <c r="G603" s="5" t="s">
        <v>436</v>
      </c>
      <c r="H603" s="5"/>
      <c r="I603" s="5" t="s">
        <v>1966</v>
      </c>
      <c r="J603" s="5" t="s">
        <v>4238</v>
      </c>
      <c r="K603" s="5" t="s">
        <v>4239</v>
      </c>
    </row>
    <row r="604" customFormat="false" ht="15" hidden="false" customHeight="false" outlineLevel="0" collapsed="false">
      <c r="A604" s="5" t="s">
        <v>89</v>
      </c>
      <c r="B604" s="5" t="s">
        <v>1396</v>
      </c>
      <c r="C604" s="5" t="s">
        <v>4240</v>
      </c>
      <c r="D604" s="5"/>
      <c r="E604" s="5" t="s">
        <v>3977</v>
      </c>
      <c r="F604" s="5" t="s">
        <v>265</v>
      </c>
      <c r="G604" s="5" t="s">
        <v>760</v>
      </c>
      <c r="H604" s="5" t="n">
        <v>2</v>
      </c>
      <c r="I604" s="5" t="s">
        <v>3509</v>
      </c>
      <c r="J604" s="5" t="s">
        <v>1397</v>
      </c>
      <c r="K604" s="5" t="s">
        <v>1398</v>
      </c>
    </row>
    <row r="605" customFormat="false" ht="15" hidden="false" customHeight="false" outlineLevel="0" collapsed="false">
      <c r="A605" s="5" t="s">
        <v>47</v>
      </c>
      <c r="B605" s="5" t="s">
        <v>588</v>
      </c>
      <c r="C605" s="5" t="s">
        <v>47</v>
      </c>
      <c r="D605" s="5" t="s">
        <v>4241</v>
      </c>
      <c r="E605" s="5" t="s">
        <v>3977</v>
      </c>
      <c r="F605" s="5" t="s">
        <v>265</v>
      </c>
      <c r="G605" s="5" t="s">
        <v>436</v>
      </c>
      <c r="H605" s="5" t="n">
        <v>2</v>
      </c>
      <c r="I605" s="5" t="s">
        <v>1898</v>
      </c>
      <c r="J605" s="5" t="s">
        <v>589</v>
      </c>
      <c r="K605" s="5" t="s">
        <v>590</v>
      </c>
    </row>
    <row r="606" customFormat="false" ht="15" hidden="false" customHeight="false" outlineLevel="0" collapsed="false">
      <c r="A606" s="5" t="s">
        <v>72</v>
      </c>
      <c r="B606" s="5" t="s">
        <v>4242</v>
      </c>
      <c r="C606" s="5" t="s">
        <v>4243</v>
      </c>
      <c r="D606" s="5" t="s">
        <v>4244</v>
      </c>
      <c r="E606" s="5" t="s">
        <v>3977</v>
      </c>
      <c r="F606" s="5" t="s">
        <v>265</v>
      </c>
      <c r="G606" s="5" t="s">
        <v>345</v>
      </c>
      <c r="H606" s="5" t="n">
        <v>2</v>
      </c>
      <c r="I606" s="5" t="s">
        <v>1647</v>
      </c>
      <c r="J606" s="5" t="s">
        <v>4245</v>
      </c>
      <c r="K606" s="5" t="s">
        <v>4246</v>
      </c>
    </row>
    <row r="607" customFormat="false" ht="15" hidden="false" customHeight="false" outlineLevel="0" collapsed="false">
      <c r="A607" s="5" t="s">
        <v>40</v>
      </c>
      <c r="B607" s="5" t="s">
        <v>4247</v>
      </c>
      <c r="C607" s="5" t="s">
        <v>4248</v>
      </c>
      <c r="D607" s="5" t="s">
        <v>4249</v>
      </c>
      <c r="E607" s="5" t="s">
        <v>3977</v>
      </c>
      <c r="F607" s="5" t="s">
        <v>265</v>
      </c>
      <c r="G607" s="5" t="s">
        <v>345</v>
      </c>
      <c r="H607" s="5" t="n">
        <v>3</v>
      </c>
      <c r="I607" s="5" t="s">
        <v>1760</v>
      </c>
      <c r="J607" s="5" t="s">
        <v>4250</v>
      </c>
      <c r="K607" s="5" t="s">
        <v>4251</v>
      </c>
    </row>
    <row r="608" customFormat="false" ht="15" hidden="false" customHeight="false" outlineLevel="0" collapsed="false">
      <c r="A608" s="5" t="s">
        <v>83</v>
      </c>
      <c r="B608" s="5" t="s">
        <v>4252</v>
      </c>
      <c r="C608" s="5" t="s">
        <v>4253</v>
      </c>
      <c r="D608" s="5" t="s">
        <v>4254</v>
      </c>
      <c r="E608" s="5" t="s">
        <v>3977</v>
      </c>
      <c r="F608" s="5" t="s">
        <v>265</v>
      </c>
      <c r="G608" s="5" t="s">
        <v>775</v>
      </c>
      <c r="H608" s="5" t="n">
        <v>2</v>
      </c>
      <c r="I608" s="5" t="s">
        <v>2229</v>
      </c>
      <c r="J608" s="5" t="s">
        <v>4255</v>
      </c>
      <c r="K608" s="5" t="s">
        <v>4256</v>
      </c>
    </row>
    <row r="609" customFormat="false" ht="15" hidden="false" customHeight="false" outlineLevel="0" collapsed="false">
      <c r="A609" s="5" t="s">
        <v>47</v>
      </c>
      <c r="B609" s="5" t="s">
        <v>4257</v>
      </c>
      <c r="C609" s="5" t="s">
        <v>4258</v>
      </c>
      <c r="D609" s="5" t="s">
        <v>4259</v>
      </c>
      <c r="E609" s="5" t="s">
        <v>3977</v>
      </c>
      <c r="F609" s="5" t="s">
        <v>265</v>
      </c>
      <c r="G609" s="5" t="s">
        <v>436</v>
      </c>
      <c r="H609" s="5" t="n">
        <v>2</v>
      </c>
      <c r="I609" s="5" t="s">
        <v>1670</v>
      </c>
      <c r="J609" s="5" t="s">
        <v>4260</v>
      </c>
      <c r="K609" s="5" t="s">
        <v>4261</v>
      </c>
    </row>
    <row r="610" customFormat="false" ht="15" hidden="false" customHeight="false" outlineLevel="0" collapsed="false">
      <c r="A610" s="5" t="s">
        <v>63</v>
      </c>
      <c r="B610" s="5" t="s">
        <v>4262</v>
      </c>
      <c r="C610" s="5" t="s">
        <v>4263</v>
      </c>
      <c r="D610" s="5" t="s">
        <v>4264</v>
      </c>
      <c r="E610" s="5" t="s">
        <v>3977</v>
      </c>
      <c r="F610" s="5" t="s">
        <v>265</v>
      </c>
      <c r="G610" s="5" t="s">
        <v>345</v>
      </c>
      <c r="H610" s="5" t="n">
        <v>1</v>
      </c>
      <c r="I610" s="5" t="s">
        <v>1656</v>
      </c>
      <c r="J610" s="5" t="s">
        <v>4265</v>
      </c>
      <c r="K610" s="5" t="s">
        <v>4266</v>
      </c>
    </row>
    <row r="611" customFormat="false" ht="15" hidden="false" customHeight="false" outlineLevel="0" collapsed="false">
      <c r="A611" s="5" t="s">
        <v>83</v>
      </c>
      <c r="B611" s="5" t="s">
        <v>4267</v>
      </c>
      <c r="C611" s="5" t="s">
        <v>4268</v>
      </c>
      <c r="D611" s="5" t="s">
        <v>4269</v>
      </c>
      <c r="E611" s="5" t="s">
        <v>3977</v>
      </c>
      <c r="F611" s="5" t="s">
        <v>104</v>
      </c>
      <c r="G611" s="5" t="s">
        <v>4270</v>
      </c>
      <c r="H611" s="5" t="n">
        <v>3</v>
      </c>
      <c r="I611" s="5" t="s">
        <v>2229</v>
      </c>
      <c r="J611" s="5" t="s">
        <v>4271</v>
      </c>
      <c r="K611" s="5" t="s">
        <v>4272</v>
      </c>
    </row>
    <row r="612" customFormat="false" ht="15" hidden="false" customHeight="false" outlineLevel="0" collapsed="false">
      <c r="A612" s="5" t="s">
        <v>63</v>
      </c>
      <c r="B612" s="5" t="s">
        <v>4273</v>
      </c>
      <c r="C612" s="5" t="s">
        <v>4274</v>
      </c>
      <c r="D612" s="5" t="s">
        <v>4275</v>
      </c>
      <c r="E612" s="5" t="s">
        <v>3977</v>
      </c>
      <c r="F612" s="5" t="s">
        <v>265</v>
      </c>
      <c r="G612" s="5" t="s">
        <v>345</v>
      </c>
      <c r="H612" s="5" t="n">
        <v>2</v>
      </c>
      <c r="I612" s="5" t="s">
        <v>1656</v>
      </c>
      <c r="J612" s="5" t="s">
        <v>4276</v>
      </c>
      <c r="K612" s="5" t="s">
        <v>4277</v>
      </c>
    </row>
    <row r="613" customFormat="false" ht="15" hidden="false" customHeight="false" outlineLevel="0" collapsed="false">
      <c r="A613" s="5" t="s">
        <v>66</v>
      </c>
      <c r="B613" s="5" t="s">
        <v>4278</v>
      </c>
      <c r="C613" s="5" t="s">
        <v>4279</v>
      </c>
      <c r="D613" s="5" t="s">
        <v>4280</v>
      </c>
      <c r="E613" s="5" t="s">
        <v>3977</v>
      </c>
      <c r="F613" s="5" t="s">
        <v>265</v>
      </c>
      <c r="G613" s="5" t="s">
        <v>345</v>
      </c>
      <c r="H613" s="5" t="n">
        <v>2</v>
      </c>
      <c r="I613" s="5" t="s">
        <v>1911</v>
      </c>
      <c r="J613" s="5" t="s">
        <v>4281</v>
      </c>
      <c r="K613" s="5" t="s">
        <v>4282</v>
      </c>
    </row>
    <row r="614" customFormat="false" ht="15" hidden="false" customHeight="false" outlineLevel="0" collapsed="false">
      <c r="A614" s="5" t="s">
        <v>89</v>
      </c>
      <c r="B614" s="5" t="s">
        <v>4283</v>
      </c>
      <c r="C614" s="5" t="s">
        <v>4284</v>
      </c>
      <c r="D614" s="5" t="s">
        <v>4285</v>
      </c>
      <c r="E614" s="5" t="s">
        <v>3977</v>
      </c>
      <c r="F614" s="5" t="s">
        <v>265</v>
      </c>
      <c r="G614" s="5" t="s">
        <v>436</v>
      </c>
      <c r="H614" s="5" t="n">
        <v>1</v>
      </c>
      <c r="I614" s="5" t="s">
        <v>1709</v>
      </c>
      <c r="J614" s="5" t="s">
        <v>4286</v>
      </c>
      <c r="K614" s="5" t="s">
        <v>4287</v>
      </c>
    </row>
    <row r="615" customFormat="false" ht="15" hidden="false" customHeight="false" outlineLevel="0" collapsed="false">
      <c r="A615" s="5" t="s">
        <v>47</v>
      </c>
      <c r="B615" s="5" t="s">
        <v>4288</v>
      </c>
      <c r="C615" s="5" t="s">
        <v>4289</v>
      </c>
      <c r="D615" s="5" t="s">
        <v>4290</v>
      </c>
      <c r="E615" s="5" t="s">
        <v>3977</v>
      </c>
      <c r="F615" s="5" t="s">
        <v>265</v>
      </c>
      <c r="G615" s="5" t="s">
        <v>436</v>
      </c>
      <c r="H615" s="5" t="n">
        <v>2</v>
      </c>
      <c r="I615" s="5" t="s">
        <v>1670</v>
      </c>
      <c r="J615" s="5" t="s">
        <v>4291</v>
      </c>
      <c r="K615" s="5" t="s">
        <v>4292</v>
      </c>
    </row>
    <row r="616" customFormat="false" ht="15" hidden="false" customHeight="false" outlineLevel="0" collapsed="false">
      <c r="A616" s="5" t="s">
        <v>40</v>
      </c>
      <c r="B616" s="5" t="s">
        <v>367</v>
      </c>
      <c r="C616" s="5" t="s">
        <v>4293</v>
      </c>
      <c r="D616" s="5" t="s">
        <v>4294</v>
      </c>
      <c r="E616" s="5" t="s">
        <v>3977</v>
      </c>
      <c r="F616" s="5" t="s">
        <v>265</v>
      </c>
      <c r="G616" s="5" t="s">
        <v>345</v>
      </c>
      <c r="H616" s="5" t="n">
        <v>3</v>
      </c>
      <c r="I616" s="5" t="s">
        <v>1652</v>
      </c>
      <c r="J616" s="5" t="s">
        <v>369</v>
      </c>
      <c r="K616" s="5" t="s">
        <v>370</v>
      </c>
    </row>
    <row r="617" customFormat="false" ht="15" hidden="false" customHeight="false" outlineLevel="0" collapsed="false">
      <c r="A617" s="5" t="s">
        <v>43</v>
      </c>
      <c r="B617" s="5" t="s">
        <v>4295</v>
      </c>
      <c r="C617" s="5" t="s">
        <v>4296</v>
      </c>
      <c r="D617" s="5" t="s">
        <v>4297</v>
      </c>
      <c r="E617" s="5" t="s">
        <v>3977</v>
      </c>
      <c r="F617" s="5" t="s">
        <v>265</v>
      </c>
      <c r="G617" s="5" t="s">
        <v>345</v>
      </c>
      <c r="H617" s="5" t="n">
        <v>2</v>
      </c>
      <c r="I617" s="5" t="s">
        <v>1858</v>
      </c>
      <c r="J617" s="5" t="s">
        <v>4298</v>
      </c>
      <c r="K617" s="5" t="s">
        <v>4299</v>
      </c>
    </row>
    <row r="618" customFormat="false" ht="15" hidden="false" customHeight="false" outlineLevel="0" collapsed="false">
      <c r="A618" s="5" t="s">
        <v>75</v>
      </c>
      <c r="B618" s="5" t="s">
        <v>4300</v>
      </c>
      <c r="C618" s="5" t="s">
        <v>4301</v>
      </c>
      <c r="D618" s="5" t="s">
        <v>4302</v>
      </c>
      <c r="E618" s="5" t="s">
        <v>3977</v>
      </c>
      <c r="F618" s="5" t="s">
        <v>104</v>
      </c>
      <c r="G618" s="5" t="s">
        <v>445</v>
      </c>
      <c r="H618" s="5" t="n">
        <v>3</v>
      </c>
      <c r="I618" s="5" t="s">
        <v>2292</v>
      </c>
      <c r="J618" s="5" t="s">
        <v>4303</v>
      </c>
      <c r="K618" s="5" t="s">
        <v>4304</v>
      </c>
    </row>
    <row r="619" customFormat="false" ht="15" hidden="false" customHeight="false" outlineLevel="0" collapsed="false">
      <c r="A619" s="5" t="s">
        <v>92</v>
      </c>
      <c r="B619" s="5" t="s">
        <v>1463</v>
      </c>
      <c r="C619" s="5" t="s">
        <v>4305</v>
      </c>
      <c r="D619" s="5" t="s">
        <v>4306</v>
      </c>
      <c r="E619" s="5" t="s">
        <v>3977</v>
      </c>
      <c r="F619" s="5" t="s">
        <v>265</v>
      </c>
      <c r="G619" s="5" t="s">
        <v>382</v>
      </c>
      <c r="H619" s="5" t="n">
        <v>2</v>
      </c>
      <c r="I619" s="5" t="s">
        <v>1811</v>
      </c>
      <c r="J619" s="5" t="s">
        <v>1464</v>
      </c>
      <c r="K619" s="5" t="s">
        <v>1465</v>
      </c>
    </row>
    <row r="620" customFormat="false" ht="15" hidden="false" customHeight="false" outlineLevel="0" collapsed="false">
      <c r="A620" s="5" t="s">
        <v>72</v>
      </c>
      <c r="B620" s="5" t="s">
        <v>4307</v>
      </c>
      <c r="C620" s="5" t="s">
        <v>4308</v>
      </c>
      <c r="D620" s="5" t="s">
        <v>4309</v>
      </c>
      <c r="E620" s="5" t="s">
        <v>3977</v>
      </c>
      <c r="F620" s="5" t="s">
        <v>265</v>
      </c>
      <c r="G620" s="5" t="s">
        <v>345</v>
      </c>
      <c r="H620" s="5" t="n">
        <v>4</v>
      </c>
      <c r="I620" s="5" t="s">
        <v>1829</v>
      </c>
      <c r="J620" s="5" t="s">
        <v>4310</v>
      </c>
      <c r="K620" s="5" t="s">
        <v>4311</v>
      </c>
    </row>
    <row r="621" customFormat="false" ht="15" hidden="false" customHeight="false" outlineLevel="0" collapsed="false">
      <c r="A621" s="5" t="s">
        <v>69</v>
      </c>
      <c r="B621" s="5" t="s">
        <v>4312</v>
      </c>
      <c r="C621" s="5" t="s">
        <v>4313</v>
      </c>
      <c r="D621" s="5" t="s">
        <v>4314</v>
      </c>
      <c r="E621" s="5" t="s">
        <v>3977</v>
      </c>
      <c r="F621" s="5" t="s">
        <v>265</v>
      </c>
      <c r="G621" s="5" t="s">
        <v>345</v>
      </c>
      <c r="H621" s="5" t="n">
        <v>1</v>
      </c>
      <c r="I621" s="5" t="s">
        <v>1656</v>
      </c>
      <c r="J621" s="5" t="s">
        <v>4315</v>
      </c>
      <c r="K621" s="5" t="s">
        <v>4316</v>
      </c>
    </row>
    <row r="622" customFormat="false" ht="15" hidden="false" customHeight="false" outlineLevel="0" collapsed="false">
      <c r="A622" s="5" t="s">
        <v>51</v>
      </c>
      <c r="B622" s="5" t="s">
        <v>4317</v>
      </c>
      <c r="C622" s="5" t="s">
        <v>4318</v>
      </c>
      <c r="D622" s="5" t="s">
        <v>4319</v>
      </c>
      <c r="E622" s="5" t="s">
        <v>3977</v>
      </c>
      <c r="F622" s="5" t="s">
        <v>265</v>
      </c>
      <c r="G622" s="5" t="s">
        <v>345</v>
      </c>
      <c r="H622" s="5" t="n">
        <v>1</v>
      </c>
      <c r="I622" s="5" t="s">
        <v>1747</v>
      </c>
      <c r="J622" s="5" t="s">
        <v>4320</v>
      </c>
      <c r="K622" s="5" t="s">
        <v>4321</v>
      </c>
    </row>
    <row r="623" customFormat="false" ht="15" hidden="false" customHeight="false" outlineLevel="0" collapsed="false">
      <c r="A623" s="5" t="s">
        <v>69</v>
      </c>
      <c r="B623" s="5" t="s">
        <v>4322</v>
      </c>
      <c r="C623" s="5" t="s">
        <v>4323</v>
      </c>
      <c r="D623" s="5" t="s">
        <v>4324</v>
      </c>
      <c r="E623" s="5" t="s">
        <v>3977</v>
      </c>
      <c r="F623" s="5" t="s">
        <v>265</v>
      </c>
      <c r="G623" s="5" t="s">
        <v>345</v>
      </c>
      <c r="H623" s="5" t="n">
        <v>1</v>
      </c>
      <c r="I623" s="5" t="s">
        <v>1664</v>
      </c>
      <c r="J623" s="5" t="s">
        <v>4325</v>
      </c>
      <c r="K623" s="5" t="s">
        <v>4326</v>
      </c>
    </row>
    <row r="624" customFormat="false" ht="15" hidden="false" customHeight="false" outlineLevel="0" collapsed="false">
      <c r="A624" s="5" t="s">
        <v>83</v>
      </c>
      <c r="B624" s="5" t="s">
        <v>4327</v>
      </c>
      <c r="C624" s="5" t="s">
        <v>4328</v>
      </c>
      <c r="D624" s="5" t="s">
        <v>4329</v>
      </c>
      <c r="E624" s="5" t="s">
        <v>3977</v>
      </c>
      <c r="F624" s="5" t="s">
        <v>265</v>
      </c>
      <c r="G624" s="5" t="s">
        <v>345</v>
      </c>
      <c r="H624" s="5" t="n">
        <v>4</v>
      </c>
      <c r="I624" s="5" t="s">
        <v>1876</v>
      </c>
      <c r="J624" s="5" t="s">
        <v>4330</v>
      </c>
      <c r="K624" s="5" t="s">
        <v>4331</v>
      </c>
    </row>
    <row r="625" customFormat="false" ht="15" hidden="false" customHeight="false" outlineLevel="0" collapsed="false">
      <c r="A625" s="5" t="s">
        <v>80</v>
      </c>
      <c r="B625" s="5" t="s">
        <v>4332</v>
      </c>
      <c r="C625" s="5" t="s">
        <v>4333</v>
      </c>
      <c r="D625" s="5" t="s">
        <v>4334</v>
      </c>
      <c r="E625" s="5" t="s">
        <v>3977</v>
      </c>
      <c r="F625" s="5" t="s">
        <v>104</v>
      </c>
      <c r="G625" s="5" t="s">
        <v>4335</v>
      </c>
      <c r="H625" s="5" t="n">
        <v>4</v>
      </c>
      <c r="I625" s="5" t="s">
        <v>1647</v>
      </c>
      <c r="J625" s="5" t="s">
        <v>4336</v>
      </c>
      <c r="K625" s="5" t="s">
        <v>4337</v>
      </c>
    </row>
    <row r="626" customFormat="false" ht="15" hidden="false" customHeight="false" outlineLevel="0" collapsed="false">
      <c r="A626" s="5" t="s">
        <v>101</v>
      </c>
      <c r="B626" s="5" t="s">
        <v>4338</v>
      </c>
      <c r="C626" s="5" t="s">
        <v>4339</v>
      </c>
      <c r="D626" s="5" t="s">
        <v>4340</v>
      </c>
      <c r="E626" s="5" t="s">
        <v>3977</v>
      </c>
      <c r="F626" s="5" t="s">
        <v>265</v>
      </c>
      <c r="G626" s="5" t="s">
        <v>775</v>
      </c>
      <c r="H626" s="5" t="n">
        <v>2</v>
      </c>
      <c r="I626" s="5" t="s">
        <v>1836</v>
      </c>
      <c r="J626" s="5" t="s">
        <v>4341</v>
      </c>
      <c r="K626" s="5" t="s">
        <v>4342</v>
      </c>
    </row>
    <row r="627" customFormat="false" ht="15" hidden="false" customHeight="false" outlineLevel="0" collapsed="false">
      <c r="A627" s="5" t="s">
        <v>83</v>
      </c>
      <c r="B627" s="5" t="s">
        <v>4343</v>
      </c>
      <c r="C627" s="5" t="s">
        <v>4344</v>
      </c>
      <c r="D627" s="5" t="s">
        <v>4345</v>
      </c>
      <c r="E627" s="5" t="s">
        <v>3977</v>
      </c>
      <c r="F627" s="5" t="s">
        <v>265</v>
      </c>
      <c r="G627" s="5" t="s">
        <v>436</v>
      </c>
      <c r="H627" s="5" t="n">
        <v>2</v>
      </c>
      <c r="I627" s="5" t="s">
        <v>1876</v>
      </c>
      <c r="J627" s="5" t="s">
        <v>4346</v>
      </c>
      <c r="K627" s="5" t="s">
        <v>4347</v>
      </c>
    </row>
    <row r="628" customFormat="false" ht="15" hidden="false" customHeight="false" outlineLevel="0" collapsed="false">
      <c r="A628" s="5" t="s">
        <v>95</v>
      </c>
      <c r="B628" s="5" t="s">
        <v>4348</v>
      </c>
      <c r="C628" s="5" t="s">
        <v>4349</v>
      </c>
      <c r="D628" s="5" t="s">
        <v>4350</v>
      </c>
      <c r="E628" s="5" t="s">
        <v>3977</v>
      </c>
      <c r="F628" s="5" t="s">
        <v>265</v>
      </c>
      <c r="G628" s="5" t="s">
        <v>345</v>
      </c>
      <c r="H628" s="5" t="n">
        <v>7</v>
      </c>
      <c r="I628" s="5" t="s">
        <v>1670</v>
      </c>
      <c r="J628" s="5" t="s">
        <v>4351</v>
      </c>
      <c r="K628" s="5" t="s">
        <v>4352</v>
      </c>
    </row>
    <row r="629" customFormat="false" ht="15" hidden="false" customHeight="false" outlineLevel="0" collapsed="false">
      <c r="A629" s="5" t="s">
        <v>86</v>
      </c>
      <c r="B629" s="5" t="s">
        <v>4353</v>
      </c>
      <c r="C629" s="5" t="s">
        <v>4354</v>
      </c>
      <c r="D629" s="5" t="s">
        <v>4355</v>
      </c>
      <c r="E629" s="5" t="s">
        <v>3977</v>
      </c>
      <c r="F629" s="5" t="s">
        <v>265</v>
      </c>
      <c r="G629" s="5" t="s">
        <v>345</v>
      </c>
      <c r="H629" s="5" t="n">
        <v>2</v>
      </c>
      <c r="I629" s="5" t="s">
        <v>1664</v>
      </c>
      <c r="J629" s="5" t="s">
        <v>4356</v>
      </c>
      <c r="K629" s="5" t="s">
        <v>4357</v>
      </c>
    </row>
    <row r="630" customFormat="false" ht="15" hidden="false" customHeight="false" outlineLevel="0" collapsed="false">
      <c r="A630" s="5" t="s">
        <v>80</v>
      </c>
      <c r="B630" s="5" t="s">
        <v>4358</v>
      </c>
      <c r="C630" s="5" t="s">
        <v>4359</v>
      </c>
      <c r="D630" s="5" t="s">
        <v>4360</v>
      </c>
      <c r="E630" s="5" t="s">
        <v>3977</v>
      </c>
      <c r="F630" s="5" t="s">
        <v>265</v>
      </c>
      <c r="G630" s="5" t="s">
        <v>345</v>
      </c>
      <c r="H630" s="5" t="n">
        <v>2</v>
      </c>
      <c r="I630" s="5" t="s">
        <v>1647</v>
      </c>
      <c r="J630" s="5" t="s">
        <v>4361</v>
      </c>
      <c r="K630" s="5" t="s">
        <v>4362</v>
      </c>
    </row>
    <row r="631" customFormat="false" ht="15" hidden="false" customHeight="false" outlineLevel="0" collapsed="false">
      <c r="A631" s="5" t="s">
        <v>86</v>
      </c>
      <c r="B631" s="5" t="s">
        <v>4363</v>
      </c>
      <c r="C631" s="5" t="s">
        <v>4364</v>
      </c>
      <c r="D631" s="5" t="s">
        <v>4365</v>
      </c>
      <c r="E631" s="5" t="s">
        <v>3977</v>
      </c>
      <c r="F631" s="5" t="s">
        <v>265</v>
      </c>
      <c r="G631" s="5" t="s">
        <v>345</v>
      </c>
      <c r="H631" s="5" t="n">
        <v>2</v>
      </c>
      <c r="I631" s="5" t="s">
        <v>2292</v>
      </c>
      <c r="J631" s="5" t="s">
        <v>4366</v>
      </c>
      <c r="K631" s="5" t="s">
        <v>4367</v>
      </c>
    </row>
    <row r="632" customFormat="false" ht="15" hidden="false" customHeight="false" outlineLevel="0" collapsed="false">
      <c r="A632" s="5" t="s">
        <v>86</v>
      </c>
      <c r="B632" s="5" t="s">
        <v>4368</v>
      </c>
      <c r="C632" s="5" t="s">
        <v>4369</v>
      </c>
      <c r="D632" s="5" t="s">
        <v>4370</v>
      </c>
      <c r="E632" s="5" t="s">
        <v>3977</v>
      </c>
      <c r="F632" s="5" t="s">
        <v>265</v>
      </c>
      <c r="G632" s="5" t="s">
        <v>345</v>
      </c>
      <c r="H632" s="5"/>
      <c r="I632" s="5" t="s">
        <v>1647</v>
      </c>
      <c r="J632" s="5" t="s">
        <v>4371</v>
      </c>
      <c r="K632" s="5" t="s">
        <v>4372</v>
      </c>
    </row>
    <row r="633" customFormat="false" ht="15" hidden="false" customHeight="false" outlineLevel="0" collapsed="false">
      <c r="A633" s="5" t="s">
        <v>83</v>
      </c>
      <c r="B633" s="5" t="s">
        <v>4373</v>
      </c>
      <c r="C633" s="5" t="s">
        <v>4374</v>
      </c>
      <c r="D633" s="5" t="s">
        <v>4375</v>
      </c>
      <c r="E633" s="5" t="s">
        <v>3977</v>
      </c>
      <c r="F633" s="5" t="s">
        <v>265</v>
      </c>
      <c r="G633" s="5" t="s">
        <v>775</v>
      </c>
      <c r="H633" s="5" t="n">
        <v>6</v>
      </c>
      <c r="I633" s="5" t="s">
        <v>1876</v>
      </c>
      <c r="J633" s="5" t="s">
        <v>4376</v>
      </c>
      <c r="K633" s="5" t="s">
        <v>4377</v>
      </c>
    </row>
    <row r="634" customFormat="false" ht="15" hidden="false" customHeight="false" outlineLevel="0" collapsed="false">
      <c r="A634" s="5" t="s">
        <v>69</v>
      </c>
      <c r="B634" s="5" t="s">
        <v>4378</v>
      </c>
      <c r="C634" s="5" t="s">
        <v>4379</v>
      </c>
      <c r="D634" s="5"/>
      <c r="E634" s="5" t="s">
        <v>3977</v>
      </c>
      <c r="F634" s="5" t="s">
        <v>265</v>
      </c>
      <c r="G634" s="5" t="s">
        <v>345</v>
      </c>
      <c r="H634" s="5" t="n">
        <v>2</v>
      </c>
      <c r="I634" s="5" t="s">
        <v>1664</v>
      </c>
      <c r="J634" s="5" t="s">
        <v>4380</v>
      </c>
      <c r="K634" s="5" t="s">
        <v>4381</v>
      </c>
    </row>
    <row r="635" customFormat="false" ht="15" hidden="false" customHeight="false" outlineLevel="0" collapsed="false">
      <c r="A635" s="5" t="s">
        <v>47</v>
      </c>
      <c r="B635" s="5" t="s">
        <v>592</v>
      </c>
      <c r="C635" s="5" t="s">
        <v>4382</v>
      </c>
      <c r="D635" s="5" t="s">
        <v>4383</v>
      </c>
      <c r="E635" s="5" t="s">
        <v>3977</v>
      </c>
      <c r="F635" s="5" t="s">
        <v>265</v>
      </c>
      <c r="G635" s="5" t="s">
        <v>584</v>
      </c>
      <c r="H635" s="5" t="n">
        <v>2</v>
      </c>
      <c r="I635" s="5" t="s">
        <v>1898</v>
      </c>
      <c r="J635" s="5" t="s">
        <v>593</v>
      </c>
      <c r="K635" s="5" t="s">
        <v>594</v>
      </c>
    </row>
    <row r="636" customFormat="false" ht="15" hidden="false" customHeight="false" outlineLevel="0" collapsed="false">
      <c r="A636" s="5" t="s">
        <v>69</v>
      </c>
      <c r="B636" s="5" t="s">
        <v>1024</v>
      </c>
      <c r="C636" s="5" t="s">
        <v>4384</v>
      </c>
      <c r="D636" s="5" t="s">
        <v>4385</v>
      </c>
      <c r="E636" s="5" t="s">
        <v>3977</v>
      </c>
      <c r="F636" s="5" t="s">
        <v>265</v>
      </c>
      <c r="G636" s="5" t="s">
        <v>345</v>
      </c>
      <c r="H636" s="5" t="n">
        <v>8</v>
      </c>
      <c r="I636" s="5" t="s">
        <v>1664</v>
      </c>
      <c r="J636" s="5" t="s">
        <v>1025</v>
      </c>
      <c r="K636" s="5" t="s">
        <v>1026</v>
      </c>
    </row>
    <row r="637" customFormat="false" ht="15" hidden="false" customHeight="false" outlineLevel="0" collapsed="false">
      <c r="A637" s="5" t="s">
        <v>95</v>
      </c>
      <c r="B637" s="5" t="s">
        <v>4386</v>
      </c>
      <c r="C637" s="5" t="s">
        <v>4387</v>
      </c>
      <c r="D637" s="5" t="s">
        <v>4388</v>
      </c>
      <c r="E637" s="5" t="s">
        <v>3977</v>
      </c>
      <c r="F637" s="5" t="s">
        <v>265</v>
      </c>
      <c r="G637" s="5" t="s">
        <v>345</v>
      </c>
      <c r="H637" s="5" t="n">
        <v>3</v>
      </c>
      <c r="I637" s="5" t="s">
        <v>1927</v>
      </c>
      <c r="J637" s="5" t="s">
        <v>4389</v>
      </c>
      <c r="K637" s="5" t="s">
        <v>4390</v>
      </c>
    </row>
    <row r="638" customFormat="false" ht="15" hidden="false" customHeight="false" outlineLevel="0" collapsed="false">
      <c r="A638" s="5" t="s">
        <v>83</v>
      </c>
      <c r="B638" s="5" t="s">
        <v>4391</v>
      </c>
      <c r="C638" s="5" t="s">
        <v>4392</v>
      </c>
      <c r="D638" s="5" t="s">
        <v>4393</v>
      </c>
      <c r="E638" s="5" t="s">
        <v>3977</v>
      </c>
      <c r="F638" s="5" t="s">
        <v>265</v>
      </c>
      <c r="G638" s="5" t="s">
        <v>345</v>
      </c>
      <c r="H638" s="5" t="n">
        <v>2</v>
      </c>
      <c r="I638" s="5" t="s">
        <v>1876</v>
      </c>
      <c r="J638" s="5" t="s">
        <v>4394</v>
      </c>
      <c r="K638" s="5" t="s">
        <v>4395</v>
      </c>
    </row>
    <row r="639" customFormat="false" ht="15" hidden="false" customHeight="false" outlineLevel="0" collapsed="false">
      <c r="A639" s="5" t="s">
        <v>75</v>
      </c>
      <c r="B639" s="5" t="s">
        <v>4396</v>
      </c>
      <c r="C639" s="5" t="s">
        <v>4397</v>
      </c>
      <c r="D639" s="5" t="s">
        <v>4398</v>
      </c>
      <c r="E639" s="5" t="s">
        <v>3977</v>
      </c>
      <c r="F639" s="5" t="s">
        <v>265</v>
      </c>
      <c r="G639" s="5" t="s">
        <v>345</v>
      </c>
      <c r="H639" s="5" t="n">
        <v>2</v>
      </c>
      <c r="I639" s="5" t="s">
        <v>1656</v>
      </c>
      <c r="J639" s="5" t="s">
        <v>4399</v>
      </c>
      <c r="K639" s="5" t="s">
        <v>4400</v>
      </c>
    </row>
    <row r="640" customFormat="false" ht="15" hidden="false" customHeight="false" outlineLevel="0" collapsed="false">
      <c r="A640" s="5" t="s">
        <v>63</v>
      </c>
      <c r="B640" s="5" t="s">
        <v>892</v>
      </c>
      <c r="C640" s="5" t="s">
        <v>4401</v>
      </c>
      <c r="D640" s="5" t="s">
        <v>4402</v>
      </c>
      <c r="E640" s="5" t="s">
        <v>3977</v>
      </c>
      <c r="F640" s="5" t="s">
        <v>265</v>
      </c>
      <c r="G640" s="5" t="s">
        <v>345</v>
      </c>
      <c r="H640" s="5" t="n">
        <v>3</v>
      </c>
      <c r="I640" s="5" t="s">
        <v>1656</v>
      </c>
      <c r="J640" s="5" t="s">
        <v>893</v>
      </c>
      <c r="K640" s="5" t="s">
        <v>894</v>
      </c>
    </row>
    <row r="641" customFormat="false" ht="15" hidden="false" customHeight="false" outlineLevel="0" collapsed="false">
      <c r="A641" s="5" t="s">
        <v>47</v>
      </c>
      <c r="B641" s="5" t="s">
        <v>4403</v>
      </c>
      <c r="C641" s="5" t="s">
        <v>4404</v>
      </c>
      <c r="D641" s="5" t="s">
        <v>4405</v>
      </c>
      <c r="E641" s="5" t="s">
        <v>3977</v>
      </c>
      <c r="F641" s="5" t="s">
        <v>265</v>
      </c>
      <c r="G641" s="5" t="s">
        <v>4406</v>
      </c>
      <c r="H641" s="5" t="n">
        <v>3</v>
      </c>
      <c r="I641" s="5" t="s">
        <v>1670</v>
      </c>
      <c r="J641" s="5" t="s">
        <v>4407</v>
      </c>
      <c r="K641" s="5" t="s">
        <v>4408</v>
      </c>
    </row>
    <row r="642" customFormat="false" ht="15" hidden="false" customHeight="false" outlineLevel="0" collapsed="false">
      <c r="A642" s="5" t="s">
        <v>83</v>
      </c>
      <c r="B642" s="5" t="s">
        <v>1275</v>
      </c>
      <c r="C642" s="5" t="s">
        <v>4409</v>
      </c>
      <c r="D642" s="5" t="s">
        <v>4410</v>
      </c>
      <c r="E642" s="5" t="s">
        <v>3977</v>
      </c>
      <c r="F642" s="5" t="s">
        <v>265</v>
      </c>
      <c r="G642" s="5" t="s">
        <v>345</v>
      </c>
      <c r="H642" s="5" t="n">
        <v>30</v>
      </c>
      <c r="I642" s="5" t="s">
        <v>1876</v>
      </c>
      <c r="J642" s="5" t="s">
        <v>1276</v>
      </c>
      <c r="K642" s="5" t="s">
        <v>1277</v>
      </c>
    </row>
    <row r="643" customFormat="false" ht="15" hidden="false" customHeight="false" outlineLevel="0" collapsed="false">
      <c r="A643" s="5" t="s">
        <v>69</v>
      </c>
      <c r="B643" s="5" t="s">
        <v>4411</v>
      </c>
      <c r="C643" s="5" t="s">
        <v>4412</v>
      </c>
      <c r="D643" s="5" t="s">
        <v>4413</v>
      </c>
      <c r="E643" s="5" t="s">
        <v>3977</v>
      </c>
      <c r="F643" s="5" t="s">
        <v>265</v>
      </c>
      <c r="G643" s="5" t="s">
        <v>345</v>
      </c>
      <c r="H643" s="5" t="n">
        <v>1</v>
      </c>
      <c r="I643" s="5" t="s">
        <v>1635</v>
      </c>
      <c r="J643" s="5" t="s">
        <v>4414</v>
      </c>
      <c r="K643" s="5" t="s">
        <v>4415</v>
      </c>
    </row>
    <row r="644" customFormat="false" ht="15" hidden="false" customHeight="false" outlineLevel="0" collapsed="false">
      <c r="A644" s="5" t="s">
        <v>86</v>
      </c>
      <c r="B644" s="5" t="s">
        <v>4416</v>
      </c>
      <c r="C644" s="5" t="s">
        <v>4417</v>
      </c>
      <c r="D644" s="5" t="s">
        <v>4418</v>
      </c>
      <c r="E644" s="5" t="s">
        <v>3977</v>
      </c>
      <c r="F644" s="5" t="s">
        <v>265</v>
      </c>
      <c r="G644" s="5" t="s">
        <v>345</v>
      </c>
      <c r="H644" s="5" t="n">
        <v>2</v>
      </c>
      <c r="I644" s="5" t="s">
        <v>2292</v>
      </c>
      <c r="J644" s="5" t="s">
        <v>4419</v>
      </c>
      <c r="K644" s="5" t="s">
        <v>4420</v>
      </c>
    </row>
    <row r="645" customFormat="false" ht="15" hidden="false" customHeight="false" outlineLevel="0" collapsed="false">
      <c r="A645" s="5" t="s">
        <v>43</v>
      </c>
      <c r="B645" s="5" t="s">
        <v>4421</v>
      </c>
      <c r="C645" s="5" t="s">
        <v>4422</v>
      </c>
      <c r="D645" s="5" t="s">
        <v>4423</v>
      </c>
      <c r="E645" s="5" t="s">
        <v>3977</v>
      </c>
      <c r="F645" s="5" t="s">
        <v>265</v>
      </c>
      <c r="G645" s="5" t="s">
        <v>345</v>
      </c>
      <c r="H645" s="5" t="n">
        <v>2</v>
      </c>
      <c r="I645" s="5" t="s">
        <v>1971</v>
      </c>
      <c r="J645" s="5" t="s">
        <v>4424</v>
      </c>
      <c r="K645" s="5" t="s">
        <v>4425</v>
      </c>
    </row>
    <row r="646" customFormat="false" ht="15" hidden="false" customHeight="false" outlineLevel="0" collapsed="false">
      <c r="A646" s="5" t="s">
        <v>86</v>
      </c>
      <c r="B646" s="5" t="s">
        <v>1333</v>
      </c>
      <c r="C646" s="5" t="s">
        <v>4426</v>
      </c>
      <c r="D646" s="5" t="s">
        <v>4427</v>
      </c>
      <c r="E646" s="5" t="s">
        <v>3977</v>
      </c>
      <c r="F646" s="5" t="s">
        <v>265</v>
      </c>
      <c r="G646" s="5" t="s">
        <v>345</v>
      </c>
      <c r="H646" s="5"/>
      <c r="I646" s="5" t="s">
        <v>1709</v>
      </c>
      <c r="J646" s="5" t="s">
        <v>1334</v>
      </c>
      <c r="K646" s="5" t="s">
        <v>1335</v>
      </c>
    </row>
    <row r="647" customFormat="false" ht="15" hidden="false" customHeight="false" outlineLevel="0" collapsed="false">
      <c r="A647" s="5" t="s">
        <v>40</v>
      </c>
      <c r="B647" s="5" t="s">
        <v>4428</v>
      </c>
      <c r="C647" s="5" t="s">
        <v>4429</v>
      </c>
      <c r="D647" s="5" t="s">
        <v>4430</v>
      </c>
      <c r="E647" s="5" t="s">
        <v>3977</v>
      </c>
      <c r="F647" s="5" t="s">
        <v>104</v>
      </c>
      <c r="G647" s="5" t="s">
        <v>4431</v>
      </c>
      <c r="H647" s="5" t="n">
        <v>4</v>
      </c>
      <c r="I647" s="5" t="s">
        <v>1640</v>
      </c>
      <c r="J647" s="5" t="s">
        <v>4432</v>
      </c>
      <c r="K647" s="5" t="s">
        <v>4433</v>
      </c>
    </row>
    <row r="648" customFormat="false" ht="15" hidden="false" customHeight="false" outlineLevel="0" collapsed="false">
      <c r="A648" s="5" t="s">
        <v>89</v>
      </c>
      <c r="B648" s="5" t="s">
        <v>4434</v>
      </c>
      <c r="C648" s="5" t="s">
        <v>4435</v>
      </c>
      <c r="D648" s="5" t="s">
        <v>4436</v>
      </c>
      <c r="E648" s="5" t="s">
        <v>3977</v>
      </c>
      <c r="F648" s="5" t="s">
        <v>265</v>
      </c>
      <c r="G648" s="5" t="s">
        <v>345</v>
      </c>
      <c r="H648" s="5" t="n">
        <v>2</v>
      </c>
      <c r="I648" s="5" t="s">
        <v>1709</v>
      </c>
      <c r="J648" s="5" t="s">
        <v>4437</v>
      </c>
      <c r="K648" s="5" t="s">
        <v>4438</v>
      </c>
    </row>
    <row r="649" customFormat="false" ht="15" hidden="false" customHeight="false" outlineLevel="0" collapsed="false">
      <c r="A649" s="5" t="s">
        <v>54</v>
      </c>
      <c r="B649" s="5" t="s">
        <v>4439</v>
      </c>
      <c r="C649" s="5" t="s">
        <v>4440</v>
      </c>
      <c r="D649" s="5" t="s">
        <v>4441</v>
      </c>
      <c r="E649" s="5" t="s">
        <v>3977</v>
      </c>
      <c r="F649" s="5" t="s">
        <v>265</v>
      </c>
      <c r="G649" s="5" t="s">
        <v>345</v>
      </c>
      <c r="H649" s="5" t="n">
        <v>5</v>
      </c>
      <c r="I649" s="5" t="s">
        <v>1709</v>
      </c>
      <c r="J649" s="5" t="s">
        <v>4442</v>
      </c>
      <c r="K649" s="5" t="s">
        <v>4443</v>
      </c>
    </row>
    <row r="650" customFormat="false" ht="15" hidden="false" customHeight="false" outlineLevel="0" collapsed="false">
      <c r="A650" s="5" t="s">
        <v>46</v>
      </c>
      <c r="B650" s="5" t="s">
        <v>538</v>
      </c>
      <c r="C650" s="5" t="s">
        <v>4444</v>
      </c>
      <c r="D650" s="5" t="s">
        <v>4445</v>
      </c>
      <c r="E650" s="5" t="s">
        <v>3977</v>
      </c>
      <c r="F650" s="5" t="s">
        <v>265</v>
      </c>
      <c r="G650" s="5" t="s">
        <v>345</v>
      </c>
      <c r="H650" s="5" t="n">
        <v>2</v>
      </c>
      <c r="I650" s="5" t="s">
        <v>1694</v>
      </c>
      <c r="J650" s="5" t="s">
        <v>539</v>
      </c>
      <c r="K650" s="5" t="s">
        <v>540</v>
      </c>
    </row>
    <row r="651" customFormat="false" ht="15" hidden="false" customHeight="false" outlineLevel="0" collapsed="false">
      <c r="A651" s="5" t="s">
        <v>80</v>
      </c>
      <c r="B651" s="5" t="s">
        <v>4446</v>
      </c>
      <c r="C651" s="5" t="s">
        <v>4447</v>
      </c>
      <c r="D651" s="5" t="s">
        <v>4448</v>
      </c>
      <c r="E651" s="5" t="s">
        <v>3977</v>
      </c>
      <c r="F651" s="5" t="s">
        <v>265</v>
      </c>
      <c r="G651" s="5" t="s">
        <v>345</v>
      </c>
      <c r="H651" s="5" t="n">
        <v>2</v>
      </c>
      <c r="I651" s="5" t="s">
        <v>1647</v>
      </c>
      <c r="J651" s="5" t="s">
        <v>4449</v>
      </c>
      <c r="K651" s="5" t="s">
        <v>4450</v>
      </c>
    </row>
    <row r="652" customFormat="false" ht="15" hidden="false" customHeight="false" outlineLevel="0" collapsed="false">
      <c r="A652" s="5" t="s">
        <v>57</v>
      </c>
      <c r="B652" s="5" t="s">
        <v>805</v>
      </c>
      <c r="C652" s="5" t="s">
        <v>4451</v>
      </c>
      <c r="D652" s="5" t="s">
        <v>4452</v>
      </c>
      <c r="E652" s="5" t="s">
        <v>3977</v>
      </c>
      <c r="F652" s="5" t="s">
        <v>265</v>
      </c>
      <c r="G652" s="5" t="s">
        <v>345</v>
      </c>
      <c r="H652" s="5" t="n">
        <v>3</v>
      </c>
      <c r="I652" s="5" t="s">
        <v>1709</v>
      </c>
      <c r="J652" s="5" t="s">
        <v>806</v>
      </c>
      <c r="K652" s="5" t="s">
        <v>807</v>
      </c>
    </row>
    <row r="653" customFormat="false" ht="15" hidden="false" customHeight="false" outlineLevel="0" collapsed="false">
      <c r="A653" s="5" t="s">
        <v>40</v>
      </c>
      <c r="B653" s="5" t="s">
        <v>4453</v>
      </c>
      <c r="C653" s="5" t="s">
        <v>4454</v>
      </c>
      <c r="D653" s="5" t="s">
        <v>4455</v>
      </c>
      <c r="E653" s="5" t="s">
        <v>3977</v>
      </c>
      <c r="F653" s="5" t="s">
        <v>265</v>
      </c>
      <c r="G653" s="5" t="s">
        <v>345</v>
      </c>
      <c r="H653" s="5" t="n">
        <v>3</v>
      </c>
      <c r="I653" s="5" t="s">
        <v>1709</v>
      </c>
      <c r="J653" s="5" t="s">
        <v>4456</v>
      </c>
      <c r="K653" s="5" t="s">
        <v>4457</v>
      </c>
    </row>
    <row r="654" customFormat="false" ht="15" hidden="false" customHeight="false" outlineLevel="0" collapsed="false">
      <c r="A654" s="5" t="s">
        <v>46</v>
      </c>
      <c r="B654" s="5" t="s">
        <v>4458</v>
      </c>
      <c r="C654" s="5" t="s">
        <v>4459</v>
      </c>
      <c r="D654" s="5" t="s">
        <v>4460</v>
      </c>
      <c r="E654" s="5" t="s">
        <v>3977</v>
      </c>
      <c r="F654" s="5" t="s">
        <v>265</v>
      </c>
      <c r="G654" s="5" t="s">
        <v>345</v>
      </c>
      <c r="H654" s="5" t="n">
        <v>5</v>
      </c>
      <c r="I654" s="5" t="s">
        <v>1640</v>
      </c>
      <c r="J654" s="5" t="s">
        <v>4461</v>
      </c>
      <c r="K654" s="5" t="s">
        <v>4462</v>
      </c>
    </row>
    <row r="655" customFormat="false" ht="15" hidden="false" customHeight="false" outlineLevel="0" collapsed="false">
      <c r="A655" s="5" t="s">
        <v>95</v>
      </c>
      <c r="B655" s="5" t="s">
        <v>1499</v>
      </c>
      <c r="C655" s="5" t="s">
        <v>4463</v>
      </c>
      <c r="D655" s="5" t="s">
        <v>4464</v>
      </c>
      <c r="E655" s="5" t="s">
        <v>3977</v>
      </c>
      <c r="F655" s="5" t="s">
        <v>265</v>
      </c>
      <c r="G655" s="5" t="s">
        <v>345</v>
      </c>
      <c r="H655" s="5" t="n">
        <v>3</v>
      </c>
      <c r="I655" s="5" t="s">
        <v>1927</v>
      </c>
      <c r="J655" s="5" t="s">
        <v>1500</v>
      </c>
      <c r="K655" s="5" t="s">
        <v>1501</v>
      </c>
    </row>
    <row r="656" customFormat="false" ht="15" hidden="false" customHeight="false" outlineLevel="0" collapsed="false">
      <c r="A656" s="5" t="s">
        <v>63</v>
      </c>
      <c r="B656" s="5" t="s">
        <v>4465</v>
      </c>
      <c r="C656" s="5" t="s">
        <v>4466</v>
      </c>
      <c r="D656" s="5" t="s">
        <v>4467</v>
      </c>
      <c r="E656" s="5" t="s">
        <v>3977</v>
      </c>
      <c r="F656" s="5" t="s">
        <v>265</v>
      </c>
      <c r="G656" s="5" t="s">
        <v>345</v>
      </c>
      <c r="H656" s="5" t="n">
        <v>1</v>
      </c>
      <c r="I656" s="5" t="s">
        <v>1656</v>
      </c>
      <c r="J656" s="5" t="s">
        <v>4468</v>
      </c>
      <c r="K656" s="5" t="s">
        <v>4469</v>
      </c>
    </row>
    <row r="657" customFormat="false" ht="15" hidden="false" customHeight="false" outlineLevel="0" collapsed="false">
      <c r="A657" s="5" t="s">
        <v>72</v>
      </c>
      <c r="B657" s="5" t="s">
        <v>4470</v>
      </c>
      <c r="C657" s="5" t="s">
        <v>4471</v>
      </c>
      <c r="D657" s="5" t="s">
        <v>4472</v>
      </c>
      <c r="E657" s="5" t="s">
        <v>3977</v>
      </c>
      <c r="F657" s="5" t="s">
        <v>265</v>
      </c>
      <c r="G657" s="5" t="s">
        <v>345</v>
      </c>
      <c r="H657" s="5" t="n">
        <v>1</v>
      </c>
      <c r="I657" s="5" t="s">
        <v>1656</v>
      </c>
      <c r="J657" s="5" t="s">
        <v>4473</v>
      </c>
      <c r="K657" s="5" t="s">
        <v>4474</v>
      </c>
    </row>
    <row r="658" customFormat="false" ht="15" hidden="false" customHeight="false" outlineLevel="0" collapsed="false">
      <c r="A658" s="5" t="s">
        <v>72</v>
      </c>
      <c r="B658" s="5" t="s">
        <v>4475</v>
      </c>
      <c r="C658" s="5" t="s">
        <v>4476</v>
      </c>
      <c r="D658" s="5" t="s">
        <v>4477</v>
      </c>
      <c r="E658" s="5" t="s">
        <v>3977</v>
      </c>
      <c r="F658" s="5" t="s">
        <v>265</v>
      </c>
      <c r="G658" s="5" t="s">
        <v>345</v>
      </c>
      <c r="H658" s="5" t="n">
        <v>2</v>
      </c>
      <c r="I658" s="5" t="s">
        <v>2248</v>
      </c>
      <c r="J658" s="5" t="s">
        <v>4478</v>
      </c>
      <c r="K658" s="5" t="s">
        <v>4479</v>
      </c>
    </row>
    <row r="659" customFormat="false" ht="15" hidden="false" customHeight="false" outlineLevel="0" collapsed="false">
      <c r="A659" s="5" t="s">
        <v>80</v>
      </c>
      <c r="B659" s="5" t="s">
        <v>4480</v>
      </c>
      <c r="C659" s="5" t="s">
        <v>4481</v>
      </c>
      <c r="D659" s="5" t="s">
        <v>4482</v>
      </c>
      <c r="E659" s="5" t="s">
        <v>3977</v>
      </c>
      <c r="F659" s="5" t="s">
        <v>265</v>
      </c>
      <c r="G659" s="5" t="s">
        <v>775</v>
      </c>
      <c r="H659" s="5" t="n">
        <v>2</v>
      </c>
      <c r="I659" s="5" t="s">
        <v>1647</v>
      </c>
      <c r="J659" s="5" t="s">
        <v>4483</v>
      </c>
      <c r="K659" s="5" t="s">
        <v>4484</v>
      </c>
    </row>
    <row r="660" customFormat="false" ht="15" hidden="false" customHeight="false" outlineLevel="0" collapsed="false">
      <c r="A660" s="5" t="s">
        <v>43</v>
      </c>
      <c r="B660" s="5" t="s">
        <v>463</v>
      </c>
      <c r="C660" s="5" t="s">
        <v>4485</v>
      </c>
      <c r="D660" s="5" t="s">
        <v>4486</v>
      </c>
      <c r="E660" s="5" t="s">
        <v>3977</v>
      </c>
      <c r="F660" s="5" t="s">
        <v>265</v>
      </c>
      <c r="G660" s="5" t="s">
        <v>436</v>
      </c>
      <c r="H660" s="5" t="n">
        <v>2</v>
      </c>
      <c r="I660" s="5" t="s">
        <v>1709</v>
      </c>
      <c r="J660" s="5" t="s">
        <v>464</v>
      </c>
      <c r="K660" s="5" t="s">
        <v>465</v>
      </c>
    </row>
    <row r="661" customFormat="false" ht="15" hidden="false" customHeight="false" outlineLevel="0" collapsed="false">
      <c r="A661" s="5" t="s">
        <v>40</v>
      </c>
      <c r="B661" s="5" t="s">
        <v>386</v>
      </c>
      <c r="C661" s="5" t="s">
        <v>4487</v>
      </c>
      <c r="D661" s="5" t="s">
        <v>4488</v>
      </c>
      <c r="E661" s="5" t="s">
        <v>3977</v>
      </c>
      <c r="F661" s="5" t="s">
        <v>265</v>
      </c>
      <c r="G661" s="5" t="s">
        <v>345</v>
      </c>
      <c r="H661" s="5" t="n">
        <v>2</v>
      </c>
      <c r="I661" s="5" t="s">
        <v>2248</v>
      </c>
      <c r="J661" s="5" t="s">
        <v>387</v>
      </c>
      <c r="K661" s="5" t="s">
        <v>388</v>
      </c>
    </row>
    <row r="662" customFormat="false" ht="15" hidden="false" customHeight="false" outlineLevel="0" collapsed="false">
      <c r="A662" s="5" t="s">
        <v>51</v>
      </c>
      <c r="B662" s="5" t="s">
        <v>4489</v>
      </c>
      <c r="C662" s="5" t="s">
        <v>4490</v>
      </c>
      <c r="D662" s="5" t="s">
        <v>4491</v>
      </c>
      <c r="E662" s="5" t="s">
        <v>3977</v>
      </c>
      <c r="F662" s="5" t="s">
        <v>265</v>
      </c>
      <c r="G662" s="5" t="s">
        <v>382</v>
      </c>
      <c r="H662" s="5" t="n">
        <v>3</v>
      </c>
      <c r="I662" s="5" t="s">
        <v>1747</v>
      </c>
      <c r="J662" s="5" t="s">
        <v>4492</v>
      </c>
      <c r="K662" s="5" t="s">
        <v>4493</v>
      </c>
    </row>
    <row r="663" customFormat="false" ht="15" hidden="false" customHeight="false" outlineLevel="0" collapsed="false">
      <c r="A663" s="9" t="s">
        <v>72</v>
      </c>
      <c r="B663" s="9" t="s">
        <v>1085</v>
      </c>
      <c r="C663" s="9" t="s">
        <v>4494</v>
      </c>
      <c r="D663" s="9" t="s">
        <v>4495</v>
      </c>
      <c r="E663" s="9" t="s">
        <v>3977</v>
      </c>
      <c r="F663" s="9" t="s">
        <v>190</v>
      </c>
      <c r="G663" s="9" t="s">
        <v>695</v>
      </c>
      <c r="H663" s="9" t="n">
        <v>2</v>
      </c>
      <c r="I663" s="9" t="s">
        <v>1656</v>
      </c>
      <c r="J663" s="9" t="s">
        <v>1086</v>
      </c>
      <c r="K663" s="9" t="s">
        <v>1087</v>
      </c>
    </row>
    <row r="664" customFormat="false" ht="15" hidden="false" customHeight="false" outlineLevel="0" collapsed="false">
      <c r="A664" s="5" t="s">
        <v>86</v>
      </c>
      <c r="B664" s="5" t="s">
        <v>4496</v>
      </c>
      <c r="C664" s="5" t="s">
        <v>4497</v>
      </c>
      <c r="D664" s="5" t="s">
        <v>4498</v>
      </c>
      <c r="E664" s="5" t="s">
        <v>3977</v>
      </c>
      <c r="F664" s="5" t="s">
        <v>265</v>
      </c>
      <c r="G664" s="5" t="s">
        <v>760</v>
      </c>
      <c r="H664" s="5" t="n">
        <v>3</v>
      </c>
      <c r="I664" s="5" t="s">
        <v>1876</v>
      </c>
      <c r="J664" s="5" t="s">
        <v>4499</v>
      </c>
      <c r="K664" s="5" t="s">
        <v>4500</v>
      </c>
    </row>
    <row r="665" customFormat="false" ht="15" hidden="false" customHeight="false" outlineLevel="0" collapsed="false">
      <c r="A665" s="5" t="s">
        <v>69</v>
      </c>
      <c r="B665" s="5" t="s">
        <v>4501</v>
      </c>
      <c r="C665" s="5" t="s">
        <v>4502</v>
      </c>
      <c r="D665" s="5" t="s">
        <v>4503</v>
      </c>
      <c r="E665" s="5" t="s">
        <v>3977</v>
      </c>
      <c r="F665" s="5" t="s">
        <v>265</v>
      </c>
      <c r="G665" s="5" t="s">
        <v>345</v>
      </c>
      <c r="H665" s="5"/>
      <c r="I665" s="5" t="s">
        <v>1709</v>
      </c>
      <c r="J665" s="5" t="s">
        <v>4504</v>
      </c>
      <c r="K665" s="5" t="s">
        <v>4505</v>
      </c>
    </row>
    <row r="666" customFormat="false" ht="15" hidden="false" customHeight="false" outlineLevel="0" collapsed="false">
      <c r="A666" s="5" t="s">
        <v>86</v>
      </c>
      <c r="B666" s="5" t="s">
        <v>4506</v>
      </c>
      <c r="C666" s="5" t="s">
        <v>4507</v>
      </c>
      <c r="D666" s="5" t="s">
        <v>4508</v>
      </c>
      <c r="E666" s="5" t="s">
        <v>3977</v>
      </c>
      <c r="F666" s="5" t="s">
        <v>265</v>
      </c>
      <c r="G666" s="5" t="s">
        <v>345</v>
      </c>
      <c r="H666" s="5" t="n">
        <v>2</v>
      </c>
      <c r="I666" s="5" t="s">
        <v>2749</v>
      </c>
      <c r="J666" s="5" t="s">
        <v>4509</v>
      </c>
      <c r="K666" s="5" t="s">
        <v>4510</v>
      </c>
    </row>
    <row r="667" customFormat="false" ht="15" hidden="false" customHeight="false" outlineLevel="0" collapsed="false">
      <c r="A667" s="5" t="s">
        <v>63</v>
      </c>
      <c r="B667" s="5" t="s">
        <v>4511</v>
      </c>
      <c r="C667" s="5" t="s">
        <v>4512</v>
      </c>
      <c r="D667" s="5" t="s">
        <v>4513</v>
      </c>
      <c r="E667" s="5" t="s">
        <v>3977</v>
      </c>
      <c r="F667" s="5" t="s">
        <v>265</v>
      </c>
      <c r="G667" s="5" t="s">
        <v>345</v>
      </c>
      <c r="H667" s="5" t="n">
        <v>2</v>
      </c>
      <c r="I667" s="5" t="s">
        <v>1656</v>
      </c>
      <c r="J667" s="5" t="s">
        <v>4514</v>
      </c>
      <c r="K667" s="5" t="s">
        <v>4515</v>
      </c>
    </row>
    <row r="668" customFormat="false" ht="15" hidden="false" customHeight="false" outlineLevel="0" collapsed="false">
      <c r="A668" s="5" t="s">
        <v>95</v>
      </c>
      <c r="B668" s="5" t="s">
        <v>4516</v>
      </c>
      <c r="C668" s="5" t="s">
        <v>4517</v>
      </c>
      <c r="D668" s="5" t="s">
        <v>4518</v>
      </c>
      <c r="E668" s="5" t="s">
        <v>3977</v>
      </c>
      <c r="F668" s="5" t="s">
        <v>265</v>
      </c>
      <c r="G668" s="5" t="s">
        <v>345</v>
      </c>
      <c r="H668" s="5" t="n">
        <v>3</v>
      </c>
      <c r="I668" s="5" t="s">
        <v>1836</v>
      </c>
      <c r="J668" s="5" t="s">
        <v>4519</v>
      </c>
      <c r="K668" s="5" t="s">
        <v>4520</v>
      </c>
    </row>
    <row r="669" customFormat="false" ht="15" hidden="false" customHeight="false" outlineLevel="0" collapsed="false">
      <c r="A669" s="5" t="s">
        <v>92</v>
      </c>
      <c r="B669" s="5" t="s">
        <v>4521</v>
      </c>
      <c r="C669" s="5" t="s">
        <v>4522</v>
      </c>
      <c r="D669" s="5" t="s">
        <v>4523</v>
      </c>
      <c r="E669" s="5" t="s">
        <v>3977</v>
      </c>
      <c r="F669" s="5" t="s">
        <v>104</v>
      </c>
      <c r="G669" s="5" t="s">
        <v>579</v>
      </c>
      <c r="H669" s="5" t="n">
        <v>4</v>
      </c>
      <c r="I669" s="5" t="s">
        <v>2363</v>
      </c>
      <c r="J669" s="5" t="s">
        <v>4524</v>
      </c>
      <c r="K669" s="5" t="s">
        <v>4525</v>
      </c>
    </row>
    <row r="670" customFormat="false" ht="15" hidden="false" customHeight="false" outlineLevel="0" collapsed="false">
      <c r="A670" s="5" t="s">
        <v>98</v>
      </c>
      <c r="B670" s="5" t="s">
        <v>4526</v>
      </c>
      <c r="C670" s="5" t="s">
        <v>4527</v>
      </c>
      <c r="D670" s="5" t="s">
        <v>4528</v>
      </c>
      <c r="E670" s="5" t="s">
        <v>3977</v>
      </c>
      <c r="F670" s="5" t="s">
        <v>265</v>
      </c>
      <c r="G670" s="5" t="s">
        <v>345</v>
      </c>
      <c r="H670" s="5" t="n">
        <v>3</v>
      </c>
      <c r="I670" s="5" t="s">
        <v>1635</v>
      </c>
      <c r="J670" s="5" t="s">
        <v>4529</v>
      </c>
      <c r="K670" s="5" t="s">
        <v>4530</v>
      </c>
    </row>
    <row r="671" customFormat="false" ht="15" hidden="false" customHeight="false" outlineLevel="0" collapsed="false">
      <c r="A671" s="5" t="s">
        <v>98</v>
      </c>
      <c r="B671" s="5" t="s">
        <v>4531</v>
      </c>
      <c r="C671" s="5" t="s">
        <v>4532</v>
      </c>
      <c r="D671" s="5" t="s">
        <v>4533</v>
      </c>
      <c r="E671" s="5" t="s">
        <v>3977</v>
      </c>
      <c r="F671" s="5" t="s">
        <v>265</v>
      </c>
      <c r="G671" s="5" t="s">
        <v>345</v>
      </c>
      <c r="H671" s="5" t="n">
        <v>2</v>
      </c>
      <c r="I671" s="5" t="s">
        <v>1709</v>
      </c>
      <c r="J671" s="5" t="s">
        <v>4534</v>
      </c>
      <c r="K671" s="5" t="s">
        <v>4535</v>
      </c>
    </row>
    <row r="672" customFormat="false" ht="15" hidden="false" customHeight="false" outlineLevel="0" collapsed="false">
      <c r="A672" s="5" t="s">
        <v>80</v>
      </c>
      <c r="B672" s="5" t="s">
        <v>4536</v>
      </c>
      <c r="C672" s="5" t="s">
        <v>4537</v>
      </c>
      <c r="D672" s="5" t="s">
        <v>4538</v>
      </c>
      <c r="E672" s="5" t="s">
        <v>3977</v>
      </c>
      <c r="F672" s="5" t="s">
        <v>265</v>
      </c>
      <c r="G672" s="5" t="s">
        <v>345</v>
      </c>
      <c r="H672" s="5" t="n">
        <v>2</v>
      </c>
      <c r="I672" s="5" t="s">
        <v>1647</v>
      </c>
      <c r="J672" s="5" t="s">
        <v>4539</v>
      </c>
      <c r="K672" s="5" t="s">
        <v>4540</v>
      </c>
    </row>
    <row r="673" customFormat="false" ht="15" hidden="false" customHeight="false" outlineLevel="0" collapsed="false">
      <c r="A673" s="5" t="s">
        <v>72</v>
      </c>
      <c r="B673" s="5" t="s">
        <v>4541</v>
      </c>
      <c r="C673" s="5" t="s">
        <v>4542</v>
      </c>
      <c r="D673" s="5" t="s">
        <v>4543</v>
      </c>
      <c r="E673" s="5" t="s">
        <v>3977</v>
      </c>
      <c r="F673" s="5" t="s">
        <v>265</v>
      </c>
      <c r="G673" s="5" t="s">
        <v>345</v>
      </c>
      <c r="H673" s="5" t="n">
        <v>2</v>
      </c>
      <c r="I673" s="5" t="s">
        <v>1647</v>
      </c>
      <c r="J673" s="5" t="s">
        <v>4544</v>
      </c>
      <c r="K673" s="5" t="s">
        <v>4545</v>
      </c>
    </row>
    <row r="674" customFormat="false" ht="15" hidden="false" customHeight="false" outlineLevel="0" collapsed="false">
      <c r="A674" s="5" t="s">
        <v>72</v>
      </c>
      <c r="B674" s="5" t="s">
        <v>4546</v>
      </c>
      <c r="C674" s="5" t="s">
        <v>4547</v>
      </c>
      <c r="D674" s="5" t="s">
        <v>4548</v>
      </c>
      <c r="E674" s="5" t="s">
        <v>3977</v>
      </c>
      <c r="F674" s="5" t="s">
        <v>265</v>
      </c>
      <c r="G674" s="5" t="s">
        <v>345</v>
      </c>
      <c r="H674" s="5" t="n">
        <v>-1</v>
      </c>
      <c r="I674" s="5" t="s">
        <v>1709</v>
      </c>
      <c r="J674" s="5" t="s">
        <v>4548</v>
      </c>
      <c r="K674" s="5" t="s">
        <v>4549</v>
      </c>
    </row>
    <row r="675" customFormat="false" ht="15" hidden="false" customHeight="false" outlineLevel="0" collapsed="false">
      <c r="A675" s="5" t="s">
        <v>66</v>
      </c>
      <c r="B675" s="5" t="s">
        <v>4550</v>
      </c>
      <c r="C675" s="5" t="s">
        <v>4551</v>
      </c>
      <c r="D675" s="5" t="s">
        <v>4552</v>
      </c>
      <c r="E675" s="5" t="s">
        <v>3977</v>
      </c>
      <c r="F675" s="5" t="s">
        <v>265</v>
      </c>
      <c r="G675" s="5" t="s">
        <v>382</v>
      </c>
      <c r="H675" s="5" t="n">
        <v>4</v>
      </c>
      <c r="I675" s="5" t="s">
        <v>1911</v>
      </c>
      <c r="J675" s="5" t="s">
        <v>4553</v>
      </c>
      <c r="K675" s="5" t="s">
        <v>4554</v>
      </c>
    </row>
    <row r="676" customFormat="false" ht="15" hidden="false" customHeight="false" outlineLevel="0" collapsed="false">
      <c r="A676" s="5" t="s">
        <v>92</v>
      </c>
      <c r="B676" s="5" t="s">
        <v>1471</v>
      </c>
      <c r="C676" s="5" t="s">
        <v>4555</v>
      </c>
      <c r="D676" s="5" t="s">
        <v>4556</v>
      </c>
      <c r="E676" s="5" t="s">
        <v>3977</v>
      </c>
      <c r="F676" s="5" t="s">
        <v>265</v>
      </c>
      <c r="G676" s="5" t="s">
        <v>345</v>
      </c>
      <c r="H676" s="5" t="n">
        <v>3</v>
      </c>
      <c r="I676" s="5" t="s">
        <v>1647</v>
      </c>
      <c r="J676" s="5" t="s">
        <v>1472</v>
      </c>
      <c r="K676" s="5" t="s">
        <v>1473</v>
      </c>
    </row>
    <row r="677" customFormat="false" ht="15" hidden="false" customHeight="false" outlineLevel="0" collapsed="false">
      <c r="A677" s="5" t="s">
        <v>86</v>
      </c>
      <c r="B677" s="5" t="s">
        <v>4557</v>
      </c>
      <c r="C677" s="5" t="s">
        <v>4558</v>
      </c>
      <c r="D677" s="5" t="s">
        <v>4559</v>
      </c>
      <c r="E677" s="5" t="s">
        <v>3977</v>
      </c>
      <c r="F677" s="5" t="s">
        <v>265</v>
      </c>
      <c r="G677" s="5" t="s">
        <v>775</v>
      </c>
      <c r="H677" s="5" t="n">
        <v>2</v>
      </c>
      <c r="I677" s="5" t="s">
        <v>1647</v>
      </c>
      <c r="J677" s="5" t="s">
        <v>4560</v>
      </c>
      <c r="K677" s="5" t="s">
        <v>4561</v>
      </c>
    </row>
    <row r="678" customFormat="false" ht="15" hidden="false" customHeight="false" outlineLevel="0" collapsed="false">
      <c r="A678" s="5" t="s">
        <v>54</v>
      </c>
      <c r="B678" s="5" t="s">
        <v>4562</v>
      </c>
      <c r="C678" s="5" t="s">
        <v>4563</v>
      </c>
      <c r="D678" s="5" t="s">
        <v>4564</v>
      </c>
      <c r="E678" s="5" t="s">
        <v>3977</v>
      </c>
      <c r="F678" s="5" t="s">
        <v>265</v>
      </c>
      <c r="G678" s="5" t="s">
        <v>345</v>
      </c>
      <c r="H678" s="5" t="n">
        <v>5</v>
      </c>
      <c r="I678" s="5" t="s">
        <v>1882</v>
      </c>
      <c r="J678" s="5" t="s">
        <v>4565</v>
      </c>
      <c r="K678" s="5" t="s">
        <v>4566</v>
      </c>
    </row>
    <row r="679" customFormat="false" ht="15" hidden="false" customHeight="false" outlineLevel="0" collapsed="false">
      <c r="A679" s="5" t="s">
        <v>80</v>
      </c>
      <c r="B679" s="5" t="s">
        <v>1214</v>
      </c>
      <c r="C679" s="5" t="s">
        <v>4567</v>
      </c>
      <c r="D679" s="5" t="s">
        <v>4568</v>
      </c>
      <c r="E679" s="5" t="s">
        <v>3977</v>
      </c>
      <c r="F679" s="5" t="s">
        <v>265</v>
      </c>
      <c r="G679" s="5" t="s">
        <v>345</v>
      </c>
      <c r="H679" s="5" t="n">
        <v>5</v>
      </c>
      <c r="I679" s="5" t="s">
        <v>1647</v>
      </c>
      <c r="J679" s="5" t="s">
        <v>1215</v>
      </c>
      <c r="K679" s="5" t="s">
        <v>1216</v>
      </c>
    </row>
    <row r="680" customFormat="false" ht="15" hidden="false" customHeight="false" outlineLevel="0" collapsed="false">
      <c r="A680" s="5" t="s">
        <v>72</v>
      </c>
      <c r="B680" s="5" t="s">
        <v>4569</v>
      </c>
      <c r="C680" s="5" t="s">
        <v>4570</v>
      </c>
      <c r="D680" s="5" t="s">
        <v>4571</v>
      </c>
      <c r="E680" s="5" t="s">
        <v>3977</v>
      </c>
      <c r="F680" s="5" t="s">
        <v>265</v>
      </c>
      <c r="G680" s="5" t="s">
        <v>345</v>
      </c>
      <c r="H680" s="5" t="n">
        <v>2</v>
      </c>
      <c r="I680" s="5" t="s">
        <v>1709</v>
      </c>
      <c r="J680" s="5" t="s">
        <v>4572</v>
      </c>
      <c r="K680" s="5" t="s">
        <v>4573</v>
      </c>
    </row>
    <row r="681" customFormat="false" ht="15" hidden="false" customHeight="false" outlineLevel="0" collapsed="false">
      <c r="A681" s="5" t="s">
        <v>92</v>
      </c>
      <c r="B681" s="5" t="s">
        <v>4574</v>
      </c>
      <c r="C681" s="5" t="s">
        <v>4575</v>
      </c>
      <c r="D681" s="5" t="s">
        <v>4576</v>
      </c>
      <c r="E681" s="5" t="s">
        <v>3977</v>
      </c>
      <c r="F681" s="5" t="s">
        <v>265</v>
      </c>
      <c r="G681" s="5" t="s">
        <v>345</v>
      </c>
      <c r="H681" s="5" t="n">
        <v>6</v>
      </c>
      <c r="I681" s="5" t="s">
        <v>1670</v>
      </c>
      <c r="J681" s="5" t="s">
        <v>4577</v>
      </c>
      <c r="K681" s="5" t="s">
        <v>4578</v>
      </c>
    </row>
    <row r="682" customFormat="false" ht="15" hidden="false" customHeight="false" outlineLevel="0" collapsed="false">
      <c r="A682" s="5" t="s">
        <v>51</v>
      </c>
      <c r="B682" s="5" t="s">
        <v>4579</v>
      </c>
      <c r="C682" s="5" t="s">
        <v>4580</v>
      </c>
      <c r="D682" s="5" t="s">
        <v>4581</v>
      </c>
      <c r="E682" s="5" t="s">
        <v>3977</v>
      </c>
      <c r="F682" s="5" t="s">
        <v>265</v>
      </c>
      <c r="G682" s="5" t="s">
        <v>345</v>
      </c>
      <c r="H682" s="5"/>
      <c r="I682" s="5" t="s">
        <v>1747</v>
      </c>
      <c r="J682" s="5" t="s">
        <v>4582</v>
      </c>
      <c r="K682" s="5" t="s">
        <v>4583</v>
      </c>
    </row>
    <row r="683" customFormat="false" ht="15" hidden="false" customHeight="false" outlineLevel="0" collapsed="false">
      <c r="A683" s="5" t="s">
        <v>75</v>
      </c>
      <c r="B683" s="5" t="s">
        <v>1120</v>
      </c>
      <c r="C683" s="5" t="s">
        <v>4584</v>
      </c>
      <c r="D683" s="5" t="s">
        <v>4585</v>
      </c>
      <c r="E683" s="5" t="s">
        <v>3977</v>
      </c>
      <c r="F683" s="5" t="s">
        <v>265</v>
      </c>
      <c r="G683" s="5" t="s">
        <v>345</v>
      </c>
      <c r="H683" s="5" t="n">
        <v>4</v>
      </c>
      <c r="I683" s="5" t="s">
        <v>1656</v>
      </c>
      <c r="J683" s="5" t="s">
        <v>1121</v>
      </c>
      <c r="K683" s="5" t="s">
        <v>1122</v>
      </c>
    </row>
    <row r="684" customFormat="false" ht="15" hidden="false" customHeight="false" outlineLevel="0" collapsed="false">
      <c r="A684" s="5" t="s">
        <v>72</v>
      </c>
      <c r="B684" s="5" t="s">
        <v>4586</v>
      </c>
      <c r="C684" s="5" t="s">
        <v>4587</v>
      </c>
      <c r="D684" s="5" t="s">
        <v>4588</v>
      </c>
      <c r="E684" s="5" t="s">
        <v>3977</v>
      </c>
      <c r="F684" s="5" t="s">
        <v>265</v>
      </c>
      <c r="G684" s="5" t="s">
        <v>345</v>
      </c>
      <c r="H684" s="5" t="n">
        <v>5</v>
      </c>
      <c r="I684" s="5" t="s">
        <v>1709</v>
      </c>
      <c r="J684" s="5" t="s">
        <v>4589</v>
      </c>
      <c r="K684" s="5" t="s">
        <v>4590</v>
      </c>
    </row>
    <row r="685" customFormat="false" ht="15" hidden="false" customHeight="false" outlineLevel="0" collapsed="false">
      <c r="A685" s="5" t="s">
        <v>75</v>
      </c>
      <c r="B685" s="5" t="s">
        <v>4591</v>
      </c>
      <c r="C685" s="5" t="s">
        <v>4592</v>
      </c>
      <c r="D685" s="5"/>
      <c r="E685" s="5" t="s">
        <v>3977</v>
      </c>
      <c r="F685" s="5" t="s">
        <v>265</v>
      </c>
      <c r="G685" s="5" t="s">
        <v>345</v>
      </c>
      <c r="H685" s="5" t="n">
        <v>2</v>
      </c>
      <c r="I685" s="5" t="s">
        <v>1664</v>
      </c>
      <c r="J685" s="5" t="s">
        <v>4593</v>
      </c>
      <c r="K685" s="5" t="s">
        <v>4594</v>
      </c>
    </row>
    <row r="686" customFormat="false" ht="15" hidden="false" customHeight="false" outlineLevel="0" collapsed="false">
      <c r="A686" s="5" t="s">
        <v>51</v>
      </c>
      <c r="B686" s="5" t="s">
        <v>4595</v>
      </c>
      <c r="C686" s="5" t="s">
        <v>4596</v>
      </c>
      <c r="D686" s="5" t="s">
        <v>4597</v>
      </c>
      <c r="E686" s="5" t="s">
        <v>3977</v>
      </c>
      <c r="F686" s="5" t="s">
        <v>265</v>
      </c>
      <c r="G686" s="5" t="s">
        <v>345</v>
      </c>
      <c r="H686" s="5" t="n">
        <v>3</v>
      </c>
      <c r="I686" s="5" t="s">
        <v>1709</v>
      </c>
      <c r="J686" s="5" t="s">
        <v>4598</v>
      </c>
      <c r="K686" s="5" t="s">
        <v>4599</v>
      </c>
    </row>
    <row r="687" customFormat="false" ht="15" hidden="false" customHeight="false" outlineLevel="0" collapsed="false">
      <c r="A687" s="5" t="s">
        <v>86</v>
      </c>
      <c r="B687" s="5" t="s">
        <v>4600</v>
      </c>
      <c r="C687" s="5" t="s">
        <v>4601</v>
      </c>
      <c r="D687" s="5" t="s">
        <v>4602</v>
      </c>
      <c r="E687" s="5" t="s">
        <v>3977</v>
      </c>
      <c r="F687" s="5" t="s">
        <v>265</v>
      </c>
      <c r="G687" s="5" t="s">
        <v>345</v>
      </c>
      <c r="H687" s="5" t="n">
        <v>4</v>
      </c>
      <c r="I687" s="5" t="s">
        <v>1656</v>
      </c>
      <c r="J687" s="5" t="s">
        <v>4603</v>
      </c>
      <c r="K687" s="5" t="s">
        <v>4604</v>
      </c>
    </row>
    <row r="688" customFormat="false" ht="15" hidden="false" customHeight="false" outlineLevel="0" collapsed="false">
      <c r="A688" s="5" t="s">
        <v>86</v>
      </c>
      <c r="B688" s="5" t="s">
        <v>4605</v>
      </c>
      <c r="C688" s="5" t="s">
        <v>4606</v>
      </c>
      <c r="D688" s="5" t="s">
        <v>4607</v>
      </c>
      <c r="E688" s="5" t="s">
        <v>3977</v>
      </c>
      <c r="F688" s="5" t="s">
        <v>265</v>
      </c>
      <c r="G688" s="5" t="s">
        <v>345</v>
      </c>
      <c r="H688" s="5"/>
      <c r="I688" s="5" t="s">
        <v>2292</v>
      </c>
      <c r="J688" s="5" t="s">
        <v>4608</v>
      </c>
      <c r="K688" s="5" t="s">
        <v>4609</v>
      </c>
    </row>
    <row r="689" customFormat="false" ht="15" hidden="false" customHeight="false" outlineLevel="0" collapsed="false">
      <c r="A689" s="5" t="s">
        <v>75</v>
      </c>
      <c r="B689" s="5" t="s">
        <v>4610</v>
      </c>
      <c r="C689" s="5" t="s">
        <v>4611</v>
      </c>
      <c r="D689" s="5" t="s">
        <v>4612</v>
      </c>
      <c r="E689" s="5" t="s">
        <v>3977</v>
      </c>
      <c r="F689" s="5" t="s">
        <v>265</v>
      </c>
      <c r="G689" s="5" t="s">
        <v>345</v>
      </c>
      <c r="H689" s="5" t="n">
        <v>2</v>
      </c>
      <c r="I689" s="5" t="s">
        <v>1656</v>
      </c>
      <c r="J689" s="5" t="s">
        <v>4613</v>
      </c>
      <c r="K689" s="5" t="s">
        <v>4614</v>
      </c>
    </row>
    <row r="690" customFormat="false" ht="15" hidden="false" customHeight="false" outlineLevel="0" collapsed="false">
      <c r="A690" s="5" t="s">
        <v>80</v>
      </c>
      <c r="B690" s="5" t="s">
        <v>4615</v>
      </c>
      <c r="C690" s="5" t="s">
        <v>4616</v>
      </c>
      <c r="D690" s="5" t="s">
        <v>4617</v>
      </c>
      <c r="E690" s="5" t="s">
        <v>3977</v>
      </c>
      <c r="F690" s="5" t="s">
        <v>265</v>
      </c>
      <c r="G690" s="5" t="s">
        <v>345</v>
      </c>
      <c r="H690" s="5" t="n">
        <v>2</v>
      </c>
      <c r="I690" s="5" t="s">
        <v>1647</v>
      </c>
      <c r="J690" s="5" t="s">
        <v>4618</v>
      </c>
      <c r="K690" s="5" t="s">
        <v>4619</v>
      </c>
    </row>
    <row r="691" customFormat="false" ht="15" hidden="false" customHeight="false" outlineLevel="0" collapsed="false">
      <c r="A691" s="5" t="s">
        <v>72</v>
      </c>
      <c r="B691" s="5" t="s">
        <v>4620</v>
      </c>
      <c r="C691" s="5" t="s">
        <v>4621</v>
      </c>
      <c r="D691" s="5" t="s">
        <v>4622</v>
      </c>
      <c r="E691" s="5" t="s">
        <v>3977</v>
      </c>
      <c r="F691" s="5" t="s">
        <v>104</v>
      </c>
      <c r="G691" s="5" t="s">
        <v>445</v>
      </c>
      <c r="H691" s="5" t="n">
        <v>2</v>
      </c>
      <c r="I691" s="5" t="s">
        <v>1709</v>
      </c>
      <c r="J691" s="5" t="s">
        <v>4623</v>
      </c>
      <c r="K691" s="5" t="s">
        <v>4624</v>
      </c>
    </row>
    <row r="692" customFormat="false" ht="15" hidden="false" customHeight="false" outlineLevel="0" collapsed="false">
      <c r="A692" s="5" t="s">
        <v>86</v>
      </c>
      <c r="B692" s="5" t="s">
        <v>4625</v>
      </c>
      <c r="C692" s="5" t="s">
        <v>4626</v>
      </c>
      <c r="D692" s="5" t="s">
        <v>4627</v>
      </c>
      <c r="E692" s="5" t="s">
        <v>3977</v>
      </c>
      <c r="F692" s="5" t="s">
        <v>265</v>
      </c>
      <c r="G692" s="5" t="s">
        <v>345</v>
      </c>
      <c r="H692" s="5" t="n">
        <v>6</v>
      </c>
      <c r="I692" s="5" t="s">
        <v>2292</v>
      </c>
      <c r="J692" s="5" t="s">
        <v>4628</v>
      </c>
      <c r="K692" s="5" t="s">
        <v>4629</v>
      </c>
    </row>
    <row r="693" customFormat="false" ht="15" hidden="false" customHeight="false" outlineLevel="0" collapsed="false">
      <c r="A693" s="5" t="s">
        <v>101</v>
      </c>
      <c r="B693" s="5" t="s">
        <v>4630</v>
      </c>
      <c r="C693" s="5" t="s">
        <v>4631</v>
      </c>
      <c r="D693" s="5" t="s">
        <v>4632</v>
      </c>
      <c r="E693" s="5" t="s">
        <v>3977</v>
      </c>
      <c r="F693" s="5" t="s">
        <v>265</v>
      </c>
      <c r="G693" s="5" t="s">
        <v>345</v>
      </c>
      <c r="H693" s="5" t="n">
        <v>2</v>
      </c>
      <c r="I693" s="5" t="s">
        <v>1709</v>
      </c>
      <c r="J693" s="5" t="s">
        <v>4633</v>
      </c>
      <c r="K693" s="5" t="s">
        <v>4634</v>
      </c>
    </row>
    <row r="694" customFormat="false" ht="15" hidden="false" customHeight="false" outlineLevel="0" collapsed="false">
      <c r="A694" s="5" t="s">
        <v>54</v>
      </c>
      <c r="B694" s="5" t="s">
        <v>4635</v>
      </c>
      <c r="C694" s="5" t="s">
        <v>4636</v>
      </c>
      <c r="D694" s="5" t="s">
        <v>4637</v>
      </c>
      <c r="E694" s="5" t="s">
        <v>3977</v>
      </c>
      <c r="F694" s="5" t="s">
        <v>265</v>
      </c>
      <c r="G694" s="5" t="s">
        <v>345</v>
      </c>
      <c r="H694" s="5" t="n">
        <v>1</v>
      </c>
      <c r="I694" s="5" t="s">
        <v>1664</v>
      </c>
      <c r="J694" s="5" t="s">
        <v>4638</v>
      </c>
      <c r="K694" s="5" t="s">
        <v>4639</v>
      </c>
    </row>
    <row r="695" customFormat="false" ht="15" hidden="false" customHeight="false" outlineLevel="0" collapsed="false">
      <c r="A695" s="5" t="s">
        <v>66</v>
      </c>
      <c r="B695" s="5" t="s">
        <v>4635</v>
      </c>
      <c r="C695" s="5" t="s">
        <v>4640</v>
      </c>
      <c r="D695" s="5"/>
      <c r="E695" s="5" t="s">
        <v>3977</v>
      </c>
      <c r="F695" s="5" t="s">
        <v>265</v>
      </c>
      <c r="G695" s="5" t="s">
        <v>345</v>
      </c>
      <c r="H695" s="5" t="n">
        <v>1</v>
      </c>
      <c r="I695" s="5" t="s">
        <v>1911</v>
      </c>
      <c r="J695" s="5" t="s">
        <v>4641</v>
      </c>
      <c r="K695" s="5" t="s">
        <v>4642</v>
      </c>
    </row>
    <row r="696" customFormat="false" ht="15" hidden="false" customHeight="false" outlineLevel="0" collapsed="false">
      <c r="A696" s="5" t="s">
        <v>54</v>
      </c>
      <c r="B696" s="5" t="s">
        <v>4643</v>
      </c>
      <c r="C696" s="5" t="s">
        <v>4644</v>
      </c>
      <c r="D696" s="5" t="s">
        <v>4645</v>
      </c>
      <c r="E696" s="5" t="s">
        <v>3977</v>
      </c>
      <c r="F696" s="5" t="s">
        <v>265</v>
      </c>
      <c r="G696" s="5" t="s">
        <v>436</v>
      </c>
      <c r="H696" s="5" t="n">
        <v>5</v>
      </c>
      <c r="I696" s="5" t="s">
        <v>2087</v>
      </c>
      <c r="J696" s="5" t="s">
        <v>4646</v>
      </c>
      <c r="K696" s="5" t="s">
        <v>4647</v>
      </c>
    </row>
    <row r="697" customFormat="false" ht="15" hidden="false" customHeight="false" outlineLevel="0" collapsed="false">
      <c r="A697" s="5" t="s">
        <v>75</v>
      </c>
      <c r="B697" s="5" t="s">
        <v>1124</v>
      </c>
      <c r="C697" s="5" t="s">
        <v>4648</v>
      </c>
      <c r="D697" s="5" t="s">
        <v>4649</v>
      </c>
      <c r="E697" s="5" t="s">
        <v>3977</v>
      </c>
      <c r="F697" s="5" t="s">
        <v>265</v>
      </c>
      <c r="G697" s="5" t="s">
        <v>345</v>
      </c>
      <c r="H697" s="5" t="n">
        <v>2</v>
      </c>
      <c r="I697" s="5" t="s">
        <v>1656</v>
      </c>
      <c r="J697" s="5" t="s">
        <v>1125</v>
      </c>
      <c r="K697" s="5" t="s">
        <v>1126</v>
      </c>
    </row>
    <row r="698" customFormat="false" ht="15" hidden="false" customHeight="false" outlineLevel="0" collapsed="false">
      <c r="A698" s="5" t="s">
        <v>40</v>
      </c>
      <c r="B698" s="5" t="s">
        <v>390</v>
      </c>
      <c r="C698" s="5" t="s">
        <v>4650</v>
      </c>
      <c r="D698" s="5" t="s">
        <v>4651</v>
      </c>
      <c r="E698" s="5" t="s">
        <v>3977</v>
      </c>
      <c r="F698" s="5" t="s">
        <v>265</v>
      </c>
      <c r="G698" s="5" t="s">
        <v>345</v>
      </c>
      <c r="H698" s="5" t="n">
        <v>2</v>
      </c>
      <c r="I698" s="5" t="s">
        <v>1966</v>
      </c>
      <c r="J698" s="5" t="s">
        <v>391</v>
      </c>
      <c r="K698" s="5" t="s">
        <v>392</v>
      </c>
    </row>
    <row r="699" customFormat="false" ht="15" hidden="false" customHeight="false" outlineLevel="0" collapsed="false">
      <c r="A699" s="5" t="s">
        <v>60</v>
      </c>
      <c r="B699" s="5" t="s">
        <v>4652</v>
      </c>
      <c r="C699" s="5" t="s">
        <v>4653</v>
      </c>
      <c r="D699" s="5" t="s">
        <v>4654</v>
      </c>
      <c r="E699" s="5" t="s">
        <v>3977</v>
      </c>
      <c r="F699" s="5" t="s">
        <v>265</v>
      </c>
      <c r="G699" s="5" t="s">
        <v>436</v>
      </c>
      <c r="H699" s="5" t="n">
        <v>2</v>
      </c>
      <c r="I699" s="5" t="s">
        <v>3509</v>
      </c>
      <c r="J699" s="5" t="s">
        <v>4655</v>
      </c>
      <c r="K699" s="5" t="s">
        <v>4656</v>
      </c>
    </row>
    <row r="700" customFormat="false" ht="15" hidden="false" customHeight="false" outlineLevel="0" collapsed="false">
      <c r="A700" s="5" t="s">
        <v>60</v>
      </c>
      <c r="B700" s="5" t="s">
        <v>4657</v>
      </c>
      <c r="C700" s="5" t="s">
        <v>4658</v>
      </c>
      <c r="D700" s="5" t="s">
        <v>4659</v>
      </c>
      <c r="E700" s="5" t="s">
        <v>3977</v>
      </c>
      <c r="F700" s="5" t="s">
        <v>265</v>
      </c>
      <c r="G700" s="5" t="s">
        <v>345</v>
      </c>
      <c r="H700" s="5" t="n">
        <v>2</v>
      </c>
      <c r="I700" s="5" t="s">
        <v>1709</v>
      </c>
      <c r="J700" s="5" t="s">
        <v>4660</v>
      </c>
      <c r="K700" s="5" t="s">
        <v>4661</v>
      </c>
    </row>
    <row r="701" customFormat="false" ht="15" hidden="false" customHeight="false" outlineLevel="0" collapsed="false">
      <c r="A701" s="5" t="s">
        <v>72</v>
      </c>
      <c r="B701" s="5" t="s">
        <v>4662</v>
      </c>
      <c r="C701" s="5" t="s">
        <v>4663</v>
      </c>
      <c r="D701" s="5" t="s">
        <v>4664</v>
      </c>
      <c r="E701" s="5" t="s">
        <v>3977</v>
      </c>
      <c r="F701" s="5" t="s">
        <v>265</v>
      </c>
      <c r="G701" s="5" t="s">
        <v>345</v>
      </c>
      <c r="H701" s="5" t="n">
        <v>3</v>
      </c>
      <c r="I701" s="5" t="s">
        <v>1709</v>
      </c>
      <c r="J701" s="5" t="s">
        <v>4665</v>
      </c>
      <c r="K701" s="5" t="s">
        <v>4666</v>
      </c>
    </row>
    <row r="702" customFormat="false" ht="15" hidden="false" customHeight="false" outlineLevel="0" collapsed="false">
      <c r="A702" s="5" t="s">
        <v>63</v>
      </c>
      <c r="B702" s="5" t="s">
        <v>4667</v>
      </c>
      <c r="C702" s="5" t="s">
        <v>4668</v>
      </c>
      <c r="D702" s="5" t="s">
        <v>4669</v>
      </c>
      <c r="E702" s="5" t="s">
        <v>3977</v>
      </c>
      <c r="F702" s="5" t="s">
        <v>265</v>
      </c>
      <c r="G702" s="5" t="s">
        <v>345</v>
      </c>
      <c r="H702" s="5" t="n">
        <v>5</v>
      </c>
      <c r="I702" s="5" t="s">
        <v>2831</v>
      </c>
      <c r="J702" s="5" t="s">
        <v>4670</v>
      </c>
      <c r="K702" s="5" t="s">
        <v>4671</v>
      </c>
    </row>
    <row r="703" customFormat="false" ht="15" hidden="false" customHeight="false" outlineLevel="0" collapsed="false">
      <c r="A703" s="5" t="s">
        <v>95</v>
      </c>
      <c r="B703" s="5" t="s">
        <v>4672</v>
      </c>
      <c r="C703" s="5" t="s">
        <v>4673</v>
      </c>
      <c r="D703" s="5" t="s">
        <v>4674</v>
      </c>
      <c r="E703" s="5" t="s">
        <v>3977</v>
      </c>
      <c r="F703" s="5" t="s">
        <v>104</v>
      </c>
      <c r="G703" s="5" t="s">
        <v>4675</v>
      </c>
      <c r="H703" s="5"/>
      <c r="I703" s="5" t="s">
        <v>1829</v>
      </c>
      <c r="J703" s="5" t="s">
        <v>4676</v>
      </c>
      <c r="K703" s="5" t="s">
        <v>4677</v>
      </c>
    </row>
    <row r="704" customFormat="false" ht="15" hidden="false" customHeight="false" outlineLevel="0" collapsed="false">
      <c r="A704" s="5" t="s">
        <v>54</v>
      </c>
      <c r="B704" s="5" t="s">
        <v>4678</v>
      </c>
      <c r="C704" s="5" t="s">
        <v>4679</v>
      </c>
      <c r="D704" s="5" t="s">
        <v>4680</v>
      </c>
      <c r="E704" s="5" t="s">
        <v>3977</v>
      </c>
      <c r="F704" s="5" t="s">
        <v>265</v>
      </c>
      <c r="G704" s="5" t="s">
        <v>345</v>
      </c>
      <c r="H704" s="5" t="n">
        <v>2</v>
      </c>
      <c r="I704" s="5" t="s">
        <v>1709</v>
      </c>
      <c r="J704" s="5" t="s">
        <v>4681</v>
      </c>
      <c r="K704" s="5" t="s">
        <v>4682</v>
      </c>
    </row>
    <row r="705" customFormat="false" ht="15" hidden="false" customHeight="false" outlineLevel="0" collapsed="false">
      <c r="A705" s="5" t="s">
        <v>72</v>
      </c>
      <c r="B705" s="5" t="s">
        <v>1089</v>
      </c>
      <c r="C705" s="5" t="s">
        <v>4683</v>
      </c>
      <c r="D705" s="5" t="s">
        <v>4684</v>
      </c>
      <c r="E705" s="5" t="s">
        <v>3977</v>
      </c>
      <c r="F705" s="5" t="s">
        <v>265</v>
      </c>
      <c r="G705" s="5" t="s">
        <v>345</v>
      </c>
      <c r="H705" s="5" t="n">
        <v>3</v>
      </c>
      <c r="I705" s="5" t="s">
        <v>2292</v>
      </c>
      <c r="J705" s="5" t="s">
        <v>1090</v>
      </c>
      <c r="K705" s="5" t="s">
        <v>1091</v>
      </c>
    </row>
    <row r="706" customFormat="false" ht="15" hidden="false" customHeight="false" outlineLevel="0" collapsed="false">
      <c r="A706" s="5" t="s">
        <v>40</v>
      </c>
      <c r="B706" s="5" t="s">
        <v>4685</v>
      </c>
      <c r="C706" s="5" t="s">
        <v>4686</v>
      </c>
      <c r="D706" s="5" t="s">
        <v>4687</v>
      </c>
      <c r="E706" s="5" t="s">
        <v>3977</v>
      </c>
      <c r="F706" s="5" t="s">
        <v>265</v>
      </c>
      <c r="G706" s="5" t="s">
        <v>345</v>
      </c>
      <c r="H706" s="5" t="n">
        <v>5</v>
      </c>
      <c r="I706" s="5" t="s">
        <v>1670</v>
      </c>
      <c r="J706" s="5" t="s">
        <v>4688</v>
      </c>
      <c r="K706" s="5" t="s">
        <v>4689</v>
      </c>
    </row>
    <row r="707" customFormat="false" ht="15" hidden="false" customHeight="false" outlineLevel="0" collapsed="false">
      <c r="A707" s="5" t="s">
        <v>89</v>
      </c>
      <c r="B707" s="5" t="s">
        <v>4690</v>
      </c>
      <c r="C707" s="5" t="s">
        <v>4691</v>
      </c>
      <c r="D707" s="5" t="s">
        <v>4692</v>
      </c>
      <c r="E707" s="5" t="s">
        <v>3977</v>
      </c>
      <c r="F707" s="5" t="s">
        <v>104</v>
      </c>
      <c r="G707" s="5" t="s">
        <v>445</v>
      </c>
      <c r="H707" s="5" t="n">
        <v>2</v>
      </c>
      <c r="I707" s="5" t="s">
        <v>1652</v>
      </c>
      <c r="J707" s="5" t="s">
        <v>4693</v>
      </c>
      <c r="K707" s="5" t="s">
        <v>4694</v>
      </c>
    </row>
    <row r="708" customFormat="false" ht="15" hidden="false" customHeight="false" outlineLevel="0" collapsed="false">
      <c r="A708" s="5" t="s">
        <v>69</v>
      </c>
      <c r="B708" s="5" t="s">
        <v>4695</v>
      </c>
      <c r="C708" s="5" t="s">
        <v>4696</v>
      </c>
      <c r="D708" s="5" t="s">
        <v>4697</v>
      </c>
      <c r="E708" s="5" t="s">
        <v>3977</v>
      </c>
      <c r="F708" s="5" t="s">
        <v>265</v>
      </c>
      <c r="G708" s="5" t="s">
        <v>345</v>
      </c>
      <c r="H708" s="5" t="n">
        <v>2</v>
      </c>
      <c r="I708" s="5" t="s">
        <v>1664</v>
      </c>
      <c r="J708" s="5" t="s">
        <v>4698</v>
      </c>
      <c r="K708" s="5" t="s">
        <v>4699</v>
      </c>
    </row>
    <row r="709" customFormat="false" ht="15" hidden="false" customHeight="false" outlineLevel="0" collapsed="false">
      <c r="A709" s="5" t="s">
        <v>89</v>
      </c>
      <c r="B709" s="5" t="s">
        <v>4700</v>
      </c>
      <c r="C709" s="5" t="s">
        <v>4701</v>
      </c>
      <c r="D709" s="5" t="s">
        <v>4702</v>
      </c>
      <c r="E709" s="5" t="s">
        <v>3977</v>
      </c>
      <c r="F709" s="5" t="s">
        <v>265</v>
      </c>
      <c r="G709" s="5" t="s">
        <v>345</v>
      </c>
      <c r="H709" s="5" t="n">
        <v>2</v>
      </c>
      <c r="I709" s="5" t="s">
        <v>1694</v>
      </c>
      <c r="J709" s="5" t="s">
        <v>4703</v>
      </c>
      <c r="K709" s="5" t="s">
        <v>4704</v>
      </c>
    </row>
    <row r="710" customFormat="false" ht="15" hidden="false" customHeight="false" outlineLevel="0" collapsed="false">
      <c r="A710" s="5" t="s">
        <v>80</v>
      </c>
      <c r="B710" s="5" t="s">
        <v>1222</v>
      </c>
      <c r="C710" s="5" t="s">
        <v>4705</v>
      </c>
      <c r="D710" s="5" t="s">
        <v>4706</v>
      </c>
      <c r="E710" s="5" t="s">
        <v>3977</v>
      </c>
      <c r="F710" s="5" t="s">
        <v>265</v>
      </c>
      <c r="G710" s="5" t="s">
        <v>345</v>
      </c>
      <c r="H710" s="5" t="n">
        <v>1</v>
      </c>
      <c r="I710" s="5" t="s">
        <v>1647</v>
      </c>
      <c r="J710" s="5" t="s">
        <v>1223</v>
      </c>
      <c r="K710" s="5" t="s">
        <v>1224</v>
      </c>
    </row>
    <row r="711" customFormat="false" ht="15" hidden="false" customHeight="false" outlineLevel="0" collapsed="false">
      <c r="A711" s="5" t="s">
        <v>86</v>
      </c>
      <c r="B711" s="5" t="s">
        <v>4707</v>
      </c>
      <c r="C711" s="5" t="s">
        <v>4708</v>
      </c>
      <c r="D711" s="5" t="s">
        <v>4709</v>
      </c>
      <c r="E711" s="5" t="s">
        <v>3977</v>
      </c>
      <c r="F711" s="5" t="s">
        <v>265</v>
      </c>
      <c r="G711" s="5" t="s">
        <v>345</v>
      </c>
      <c r="H711" s="5" t="n">
        <v>4</v>
      </c>
      <c r="I711" s="5" t="s">
        <v>1647</v>
      </c>
      <c r="J711" s="5" t="s">
        <v>4710</v>
      </c>
      <c r="K711" s="5" t="s">
        <v>4711</v>
      </c>
    </row>
    <row r="712" customFormat="false" ht="15" hidden="false" customHeight="false" outlineLevel="0" collapsed="false">
      <c r="A712" s="5" t="s">
        <v>46</v>
      </c>
      <c r="B712" s="5" t="s">
        <v>4712</v>
      </c>
      <c r="C712" s="5" t="s">
        <v>4713</v>
      </c>
      <c r="D712" s="5" t="s">
        <v>4714</v>
      </c>
      <c r="E712" s="5" t="s">
        <v>3977</v>
      </c>
      <c r="F712" s="5" t="s">
        <v>265</v>
      </c>
      <c r="G712" s="5" t="s">
        <v>345</v>
      </c>
      <c r="H712" s="5" t="n">
        <v>2</v>
      </c>
      <c r="I712" s="5" t="s">
        <v>1652</v>
      </c>
      <c r="J712" s="5" t="s">
        <v>4715</v>
      </c>
      <c r="K712" s="5" t="s">
        <v>4716</v>
      </c>
    </row>
    <row r="713" customFormat="false" ht="15" hidden="false" customHeight="false" outlineLevel="0" collapsed="false">
      <c r="A713" s="5" t="s">
        <v>40</v>
      </c>
      <c r="B713" s="5" t="s">
        <v>4717</v>
      </c>
      <c r="C713" s="5" t="s">
        <v>4718</v>
      </c>
      <c r="D713" s="5" t="s">
        <v>4719</v>
      </c>
      <c r="E713" s="5" t="s">
        <v>3977</v>
      </c>
      <c r="F713" s="5" t="s">
        <v>265</v>
      </c>
      <c r="G713" s="5" t="s">
        <v>382</v>
      </c>
      <c r="H713" s="5" t="n">
        <v>2</v>
      </c>
      <c r="I713" s="5" t="s">
        <v>1670</v>
      </c>
      <c r="J713" s="5" t="s">
        <v>4720</v>
      </c>
      <c r="K713" s="5" t="s">
        <v>4721</v>
      </c>
    </row>
    <row r="714" customFormat="false" ht="15" hidden="false" customHeight="false" outlineLevel="0" collapsed="false">
      <c r="A714" s="5" t="s">
        <v>46</v>
      </c>
      <c r="B714" s="5" t="s">
        <v>546</v>
      </c>
      <c r="C714" s="5" t="s">
        <v>4722</v>
      </c>
      <c r="D714" s="5" t="s">
        <v>4723</v>
      </c>
      <c r="E714" s="5" t="s">
        <v>3977</v>
      </c>
      <c r="F714" s="5" t="s">
        <v>265</v>
      </c>
      <c r="G714" s="5" t="s">
        <v>345</v>
      </c>
      <c r="H714" s="5"/>
      <c r="I714" s="5" t="s">
        <v>1709</v>
      </c>
      <c r="J714" s="5" t="s">
        <v>547</v>
      </c>
      <c r="K714" s="5" t="s">
        <v>548</v>
      </c>
    </row>
    <row r="715" customFormat="false" ht="15" hidden="false" customHeight="false" outlineLevel="0" collapsed="false">
      <c r="A715" s="5" t="s">
        <v>92</v>
      </c>
      <c r="B715" s="5" t="s">
        <v>1475</v>
      </c>
      <c r="C715" s="5" t="s">
        <v>4724</v>
      </c>
      <c r="D715" s="5" t="s">
        <v>4725</v>
      </c>
      <c r="E715" s="5" t="s">
        <v>3977</v>
      </c>
      <c r="F715" s="5" t="s">
        <v>265</v>
      </c>
      <c r="G715" s="5" t="s">
        <v>345</v>
      </c>
      <c r="H715" s="5" t="n">
        <v>3</v>
      </c>
      <c r="I715" s="5" t="s">
        <v>1670</v>
      </c>
      <c r="J715" s="5" t="s">
        <v>1476</v>
      </c>
      <c r="K715" s="5" t="s">
        <v>1477</v>
      </c>
    </row>
    <row r="716" customFormat="false" ht="15" hidden="false" customHeight="false" outlineLevel="0" collapsed="false">
      <c r="A716" s="5" t="s">
        <v>40</v>
      </c>
      <c r="B716" s="5" t="s">
        <v>4726</v>
      </c>
      <c r="C716" s="5" t="s">
        <v>4727</v>
      </c>
      <c r="D716" s="5" t="s">
        <v>4728</v>
      </c>
      <c r="E716" s="5" t="s">
        <v>3977</v>
      </c>
      <c r="F716" s="5" t="s">
        <v>265</v>
      </c>
      <c r="G716" s="5" t="s">
        <v>345</v>
      </c>
      <c r="H716" s="5" t="n">
        <v>2</v>
      </c>
      <c r="I716" s="5" t="s">
        <v>1971</v>
      </c>
      <c r="J716" s="5" t="s">
        <v>4729</v>
      </c>
      <c r="K716" s="5" t="s">
        <v>4730</v>
      </c>
    </row>
    <row r="717" customFormat="false" ht="15" hidden="false" customHeight="false" outlineLevel="0" collapsed="false">
      <c r="A717" s="5" t="s">
        <v>43</v>
      </c>
      <c r="B717" s="5" t="s">
        <v>467</v>
      </c>
      <c r="C717" s="5" t="s">
        <v>4731</v>
      </c>
      <c r="D717" s="5" t="s">
        <v>4732</v>
      </c>
      <c r="E717" s="5" t="s">
        <v>3977</v>
      </c>
      <c r="F717" s="5" t="s">
        <v>265</v>
      </c>
      <c r="G717" s="5" t="s">
        <v>345</v>
      </c>
      <c r="H717" s="5" t="n">
        <v>2</v>
      </c>
      <c r="I717" s="5" t="s">
        <v>1688</v>
      </c>
      <c r="J717" s="5" t="s">
        <v>468</v>
      </c>
      <c r="K717" s="5" t="s">
        <v>469</v>
      </c>
    </row>
    <row r="718" customFormat="false" ht="15" hidden="false" customHeight="false" outlineLevel="0" collapsed="false">
      <c r="A718" s="5" t="s">
        <v>75</v>
      </c>
      <c r="B718" s="5" t="s">
        <v>4733</v>
      </c>
      <c r="C718" s="5" t="s">
        <v>4734</v>
      </c>
      <c r="D718" s="5" t="s">
        <v>4735</v>
      </c>
      <c r="E718" s="5" t="s">
        <v>3977</v>
      </c>
      <c r="F718" s="5" t="s">
        <v>265</v>
      </c>
      <c r="G718" s="5" t="s">
        <v>345</v>
      </c>
      <c r="H718" s="5" t="n">
        <v>5</v>
      </c>
      <c r="I718" s="5" t="s">
        <v>1747</v>
      </c>
      <c r="J718" s="5" t="s">
        <v>4736</v>
      </c>
      <c r="K718" s="5" t="s">
        <v>4737</v>
      </c>
    </row>
    <row r="719" customFormat="false" ht="15" hidden="false" customHeight="false" outlineLevel="0" collapsed="false">
      <c r="A719" s="5" t="s">
        <v>40</v>
      </c>
      <c r="B719" s="5" t="s">
        <v>394</v>
      </c>
      <c r="C719" s="5" t="s">
        <v>4738</v>
      </c>
      <c r="D719" s="5" t="s">
        <v>4739</v>
      </c>
      <c r="E719" s="5" t="s">
        <v>3977</v>
      </c>
      <c r="F719" s="5" t="s">
        <v>265</v>
      </c>
      <c r="G719" s="5" t="s">
        <v>345</v>
      </c>
      <c r="H719" s="5" t="n">
        <v>2</v>
      </c>
      <c r="I719" s="5" t="s">
        <v>1640</v>
      </c>
      <c r="J719" s="5" t="s">
        <v>395</v>
      </c>
      <c r="K719" s="5" t="s">
        <v>396</v>
      </c>
    </row>
    <row r="720" customFormat="false" ht="15" hidden="false" customHeight="false" outlineLevel="0" collapsed="false">
      <c r="A720" s="5" t="s">
        <v>51</v>
      </c>
      <c r="B720" s="5" t="s">
        <v>4740</v>
      </c>
      <c r="C720" s="5" t="s">
        <v>4741</v>
      </c>
      <c r="D720" s="5" t="s">
        <v>4742</v>
      </c>
      <c r="E720" s="5" t="s">
        <v>3977</v>
      </c>
      <c r="F720" s="5" t="s">
        <v>265</v>
      </c>
      <c r="G720" s="5" t="s">
        <v>345</v>
      </c>
      <c r="H720" s="5" t="n">
        <v>5</v>
      </c>
      <c r="I720" s="5" t="s">
        <v>1656</v>
      </c>
      <c r="J720" s="5" t="s">
        <v>4743</v>
      </c>
      <c r="K720" s="5" t="s">
        <v>4744</v>
      </c>
    </row>
    <row r="721" customFormat="false" ht="15" hidden="false" customHeight="false" outlineLevel="0" collapsed="false">
      <c r="A721" s="5" t="s">
        <v>69</v>
      </c>
      <c r="B721" s="5" t="s">
        <v>4745</v>
      </c>
      <c r="C721" s="5" t="s">
        <v>4746</v>
      </c>
      <c r="D721" s="5" t="s">
        <v>4747</v>
      </c>
      <c r="E721" s="5" t="s">
        <v>3977</v>
      </c>
      <c r="F721" s="5" t="s">
        <v>265</v>
      </c>
      <c r="G721" s="5" t="s">
        <v>760</v>
      </c>
      <c r="H721" s="5" t="n">
        <v>2</v>
      </c>
      <c r="I721" s="5" t="s">
        <v>1664</v>
      </c>
      <c r="J721" s="5" t="s">
        <v>4748</v>
      </c>
      <c r="K721" s="5" t="s">
        <v>4749</v>
      </c>
    </row>
    <row r="722" customFormat="false" ht="15" hidden="false" customHeight="false" outlineLevel="0" collapsed="false">
      <c r="A722" s="5" t="s">
        <v>86</v>
      </c>
      <c r="B722" s="5" t="s">
        <v>4750</v>
      </c>
      <c r="C722" s="5" t="s">
        <v>4751</v>
      </c>
      <c r="D722" s="5" t="s">
        <v>4752</v>
      </c>
      <c r="E722" s="5" t="s">
        <v>3977</v>
      </c>
      <c r="F722" s="5" t="s">
        <v>265</v>
      </c>
      <c r="G722" s="5" t="s">
        <v>4753</v>
      </c>
      <c r="H722" s="5" t="n">
        <v>4</v>
      </c>
      <c r="I722" s="5" t="s">
        <v>2749</v>
      </c>
      <c r="J722" s="5" t="s">
        <v>4754</v>
      </c>
      <c r="K722" s="5" t="s">
        <v>4755</v>
      </c>
    </row>
    <row r="723" customFormat="false" ht="15" hidden="false" customHeight="false" outlineLevel="0" collapsed="false">
      <c r="A723" s="5" t="s">
        <v>89</v>
      </c>
      <c r="B723" s="5" t="s">
        <v>4756</v>
      </c>
      <c r="C723" s="5" t="s">
        <v>4757</v>
      </c>
      <c r="D723" s="5" t="s">
        <v>4758</v>
      </c>
      <c r="E723" s="5" t="s">
        <v>3977</v>
      </c>
      <c r="F723" s="5" t="s">
        <v>265</v>
      </c>
      <c r="G723" s="5" t="s">
        <v>345</v>
      </c>
      <c r="H723" s="5" t="n">
        <v>2</v>
      </c>
      <c r="I723" s="5" t="s">
        <v>1652</v>
      </c>
      <c r="J723" s="5" t="s">
        <v>4759</v>
      </c>
      <c r="K723" s="5" t="s">
        <v>4760</v>
      </c>
    </row>
    <row r="724" customFormat="false" ht="15" hidden="false" customHeight="false" outlineLevel="0" collapsed="false">
      <c r="A724" s="5" t="s">
        <v>80</v>
      </c>
      <c r="B724" s="5" t="s">
        <v>4761</v>
      </c>
      <c r="C724" s="5" t="s">
        <v>4762</v>
      </c>
      <c r="D724" s="5" t="s">
        <v>4763</v>
      </c>
      <c r="E724" s="5" t="s">
        <v>3977</v>
      </c>
      <c r="F724" s="5" t="s">
        <v>265</v>
      </c>
      <c r="G724" s="5" t="s">
        <v>345</v>
      </c>
      <c r="H724" s="5" t="n">
        <v>3</v>
      </c>
      <c r="I724" s="5" t="s">
        <v>1647</v>
      </c>
      <c r="J724" s="5" t="s">
        <v>4764</v>
      </c>
      <c r="K724" s="5" t="s">
        <v>4765</v>
      </c>
    </row>
    <row r="725" customFormat="false" ht="15" hidden="false" customHeight="false" outlineLevel="0" collapsed="false">
      <c r="A725" s="5" t="s">
        <v>47</v>
      </c>
      <c r="B725" s="5" t="s">
        <v>4766</v>
      </c>
      <c r="C725" s="5" t="s">
        <v>4767</v>
      </c>
      <c r="D725" s="5" t="s">
        <v>4768</v>
      </c>
      <c r="E725" s="5" t="s">
        <v>3977</v>
      </c>
      <c r="F725" s="5" t="s">
        <v>265</v>
      </c>
      <c r="G725" s="5" t="s">
        <v>345</v>
      </c>
      <c r="H725" s="5" t="n">
        <v>5</v>
      </c>
      <c r="I725" s="5" t="s">
        <v>1670</v>
      </c>
      <c r="J725" s="5" t="s">
        <v>4769</v>
      </c>
      <c r="K725" s="5" t="s">
        <v>4770</v>
      </c>
    </row>
    <row r="726" customFormat="false" ht="15" hidden="false" customHeight="false" outlineLevel="0" collapsed="false">
      <c r="A726" s="5" t="s">
        <v>80</v>
      </c>
      <c r="B726" s="5" t="s">
        <v>4771</v>
      </c>
      <c r="C726" s="5" t="s">
        <v>4772</v>
      </c>
      <c r="D726" s="5" t="s">
        <v>4773</v>
      </c>
      <c r="E726" s="5" t="s">
        <v>3977</v>
      </c>
      <c r="F726" s="5" t="s">
        <v>265</v>
      </c>
      <c r="G726" s="5" t="s">
        <v>345</v>
      </c>
      <c r="H726" s="5" t="n">
        <v>2</v>
      </c>
      <c r="I726" s="5" t="s">
        <v>1647</v>
      </c>
      <c r="J726" s="5" t="s">
        <v>4774</v>
      </c>
      <c r="K726" s="5" t="s">
        <v>4775</v>
      </c>
    </row>
    <row r="727" customFormat="false" ht="15" hidden="false" customHeight="false" outlineLevel="0" collapsed="false">
      <c r="A727" s="5" t="s">
        <v>51</v>
      </c>
      <c r="B727" s="5" t="s">
        <v>699</v>
      </c>
      <c r="C727" s="5" t="s">
        <v>4776</v>
      </c>
      <c r="D727" s="5" t="s">
        <v>4777</v>
      </c>
      <c r="E727" s="5" t="s">
        <v>3977</v>
      </c>
      <c r="F727" s="5" t="s">
        <v>265</v>
      </c>
      <c r="G727" s="5" t="s">
        <v>345</v>
      </c>
      <c r="H727" s="5" t="n">
        <v>2</v>
      </c>
      <c r="I727" s="5" t="s">
        <v>1747</v>
      </c>
      <c r="J727" s="5" t="s">
        <v>700</v>
      </c>
      <c r="K727" s="5" t="s">
        <v>701</v>
      </c>
    </row>
    <row r="728" customFormat="false" ht="15" hidden="false" customHeight="false" outlineLevel="0" collapsed="false">
      <c r="A728" s="5" t="s">
        <v>89</v>
      </c>
      <c r="B728" s="5" t="s">
        <v>4778</v>
      </c>
      <c r="C728" s="5" t="s">
        <v>4779</v>
      </c>
      <c r="D728" s="5" t="s">
        <v>4780</v>
      </c>
      <c r="E728" s="5" t="s">
        <v>3977</v>
      </c>
      <c r="F728" s="5" t="s">
        <v>265</v>
      </c>
      <c r="G728" s="5" t="s">
        <v>345</v>
      </c>
      <c r="H728" s="5"/>
      <c r="I728" s="5" t="s">
        <v>1640</v>
      </c>
      <c r="J728" s="5" t="s">
        <v>4781</v>
      </c>
      <c r="K728" s="5" t="s">
        <v>4782</v>
      </c>
    </row>
    <row r="729" customFormat="false" ht="15" hidden="false" customHeight="false" outlineLevel="0" collapsed="false">
      <c r="A729" s="5" t="s">
        <v>80</v>
      </c>
      <c r="B729" s="5" t="s">
        <v>4783</v>
      </c>
      <c r="C729" s="5" t="s">
        <v>4784</v>
      </c>
      <c r="D729" s="5" t="s">
        <v>4785</v>
      </c>
      <c r="E729" s="5" t="s">
        <v>3977</v>
      </c>
      <c r="F729" s="5" t="s">
        <v>265</v>
      </c>
      <c r="G729" s="5" t="s">
        <v>345</v>
      </c>
      <c r="H729" s="5" t="n">
        <v>2</v>
      </c>
      <c r="I729" s="5" t="s">
        <v>1647</v>
      </c>
      <c r="J729" s="5" t="s">
        <v>4786</v>
      </c>
      <c r="K729" s="5" t="s">
        <v>4787</v>
      </c>
    </row>
    <row r="730" customFormat="false" ht="15" hidden="false" customHeight="false" outlineLevel="0" collapsed="false">
      <c r="A730" s="5" t="s">
        <v>86</v>
      </c>
      <c r="B730" s="5" t="s">
        <v>4788</v>
      </c>
      <c r="C730" s="5" t="s">
        <v>4789</v>
      </c>
      <c r="D730" s="5" t="s">
        <v>4790</v>
      </c>
      <c r="E730" s="5" t="s">
        <v>3977</v>
      </c>
      <c r="F730" s="5" t="s">
        <v>265</v>
      </c>
      <c r="G730" s="5" t="s">
        <v>345</v>
      </c>
      <c r="H730" s="5" t="n">
        <v>1</v>
      </c>
      <c r="I730" s="5" t="s">
        <v>1971</v>
      </c>
      <c r="J730" s="5" t="s">
        <v>4791</v>
      </c>
      <c r="K730" s="5" t="s">
        <v>4792</v>
      </c>
    </row>
    <row r="731" customFormat="false" ht="15" hidden="false" customHeight="false" outlineLevel="0" collapsed="false">
      <c r="A731" s="5" t="s">
        <v>83</v>
      </c>
      <c r="B731" s="5" t="s">
        <v>4793</v>
      </c>
      <c r="C731" s="5" t="s">
        <v>4794</v>
      </c>
      <c r="D731" s="5" t="s">
        <v>4795</v>
      </c>
      <c r="E731" s="5" t="s">
        <v>3977</v>
      </c>
      <c r="F731" s="5" t="s">
        <v>265</v>
      </c>
      <c r="G731" s="5" t="s">
        <v>345</v>
      </c>
      <c r="H731" s="5"/>
      <c r="I731" s="5" t="s">
        <v>2229</v>
      </c>
      <c r="J731" s="5" t="s">
        <v>4796</v>
      </c>
      <c r="K731" s="5" t="s">
        <v>4797</v>
      </c>
    </row>
    <row r="732" customFormat="false" ht="15" hidden="false" customHeight="false" outlineLevel="0" collapsed="false">
      <c r="A732" s="5" t="s">
        <v>40</v>
      </c>
      <c r="B732" s="5" t="s">
        <v>4798</v>
      </c>
      <c r="C732" s="5" t="s">
        <v>4799</v>
      </c>
      <c r="D732" s="5" t="s">
        <v>4800</v>
      </c>
      <c r="E732" s="5" t="s">
        <v>3977</v>
      </c>
      <c r="F732" s="5" t="s">
        <v>265</v>
      </c>
      <c r="G732" s="5" t="s">
        <v>345</v>
      </c>
      <c r="H732" s="5" t="n">
        <v>4</v>
      </c>
      <c r="I732" s="5" t="s">
        <v>1966</v>
      </c>
      <c r="J732" s="5" t="s">
        <v>4801</v>
      </c>
      <c r="K732" s="5" t="s">
        <v>4802</v>
      </c>
    </row>
    <row r="733" customFormat="false" ht="15" hidden="false" customHeight="false" outlineLevel="0" collapsed="false">
      <c r="A733" s="5" t="s">
        <v>89</v>
      </c>
      <c r="B733" s="5" t="s">
        <v>4803</v>
      </c>
      <c r="C733" s="5" t="s">
        <v>4804</v>
      </c>
      <c r="D733" s="5" t="s">
        <v>4805</v>
      </c>
      <c r="E733" s="5" t="s">
        <v>3977</v>
      </c>
      <c r="F733" s="5" t="s">
        <v>265</v>
      </c>
      <c r="G733" s="5" t="s">
        <v>345</v>
      </c>
      <c r="H733" s="5" t="n">
        <v>2</v>
      </c>
      <c r="I733" s="5" t="s">
        <v>3509</v>
      </c>
      <c r="J733" s="5" t="s">
        <v>4806</v>
      </c>
      <c r="K733" s="5" t="s">
        <v>4807</v>
      </c>
    </row>
    <row r="734" customFormat="false" ht="15" hidden="false" customHeight="false" outlineLevel="0" collapsed="false">
      <c r="A734" s="5" t="s">
        <v>76</v>
      </c>
      <c r="B734" s="5" t="s">
        <v>1185</v>
      </c>
      <c r="C734" s="5" t="s">
        <v>4808</v>
      </c>
      <c r="D734" s="5" t="s">
        <v>4809</v>
      </c>
      <c r="E734" s="5" t="s">
        <v>3977</v>
      </c>
      <c r="F734" s="5" t="s">
        <v>265</v>
      </c>
      <c r="G734" s="5" t="s">
        <v>345</v>
      </c>
      <c r="H734" s="5" t="n">
        <v>4</v>
      </c>
      <c r="I734" s="5" t="s">
        <v>1656</v>
      </c>
      <c r="J734" s="5" t="s">
        <v>1186</v>
      </c>
      <c r="K734" s="5" t="s">
        <v>1187</v>
      </c>
    </row>
    <row r="735" customFormat="false" ht="15" hidden="false" customHeight="false" outlineLevel="0" collapsed="false">
      <c r="A735" s="5" t="s">
        <v>86</v>
      </c>
      <c r="B735" s="5" t="s">
        <v>4810</v>
      </c>
      <c r="C735" s="5" t="s">
        <v>4811</v>
      </c>
      <c r="D735" s="5" t="s">
        <v>4812</v>
      </c>
      <c r="E735" s="5" t="s">
        <v>3977</v>
      </c>
      <c r="F735" s="5" t="s">
        <v>265</v>
      </c>
      <c r="G735" s="5" t="s">
        <v>345</v>
      </c>
      <c r="H735" s="5"/>
      <c r="I735" s="5" t="s">
        <v>1709</v>
      </c>
      <c r="J735" s="5" t="s">
        <v>4813</v>
      </c>
      <c r="K735" s="5" t="s">
        <v>4814</v>
      </c>
    </row>
    <row r="736" customFormat="false" ht="15" hidden="false" customHeight="false" outlineLevel="0" collapsed="false">
      <c r="A736" s="5" t="s">
        <v>86</v>
      </c>
      <c r="B736" s="5" t="s">
        <v>4815</v>
      </c>
      <c r="C736" s="5" t="s">
        <v>4816</v>
      </c>
      <c r="D736" s="5" t="s">
        <v>4817</v>
      </c>
      <c r="E736" s="5" t="s">
        <v>3977</v>
      </c>
      <c r="F736" s="5" t="s">
        <v>265</v>
      </c>
      <c r="G736" s="5" t="s">
        <v>345</v>
      </c>
      <c r="H736" s="5" t="n">
        <v>3</v>
      </c>
      <c r="I736" s="5" t="s">
        <v>1694</v>
      </c>
      <c r="J736" s="5" t="s">
        <v>4818</v>
      </c>
      <c r="K736" s="5" t="s">
        <v>4819</v>
      </c>
    </row>
    <row r="737" customFormat="false" ht="15" hidden="false" customHeight="false" outlineLevel="0" collapsed="false">
      <c r="A737" s="5" t="s">
        <v>54</v>
      </c>
      <c r="B737" s="5" t="s">
        <v>4820</v>
      </c>
      <c r="C737" s="5" t="s">
        <v>4821</v>
      </c>
      <c r="D737" s="5" t="s">
        <v>4822</v>
      </c>
      <c r="E737" s="5" t="s">
        <v>3977</v>
      </c>
      <c r="F737" s="5" t="s">
        <v>265</v>
      </c>
      <c r="G737" s="5" t="s">
        <v>345</v>
      </c>
      <c r="H737" s="5" t="n">
        <v>2</v>
      </c>
      <c r="I737" s="5" t="s">
        <v>1800</v>
      </c>
      <c r="J737" s="5" t="s">
        <v>4823</v>
      </c>
      <c r="K737" s="5" t="s">
        <v>4824</v>
      </c>
    </row>
    <row r="738" customFormat="false" ht="15" hidden="false" customHeight="false" outlineLevel="0" collapsed="false">
      <c r="A738" s="5" t="s">
        <v>80</v>
      </c>
      <c r="B738" s="5" t="s">
        <v>4825</v>
      </c>
      <c r="C738" s="5" t="s">
        <v>4826</v>
      </c>
      <c r="D738" s="5" t="s">
        <v>4827</v>
      </c>
      <c r="E738" s="5" t="s">
        <v>3977</v>
      </c>
      <c r="F738" s="5" t="s">
        <v>265</v>
      </c>
      <c r="G738" s="5" t="s">
        <v>345</v>
      </c>
      <c r="H738" s="5" t="n">
        <v>2</v>
      </c>
      <c r="I738" s="5" t="s">
        <v>1858</v>
      </c>
      <c r="J738" s="5" t="s">
        <v>4828</v>
      </c>
      <c r="K738" s="5" t="s">
        <v>4829</v>
      </c>
    </row>
    <row r="739" customFormat="false" ht="15" hidden="false" customHeight="false" outlineLevel="0" collapsed="false">
      <c r="A739" s="5" t="s">
        <v>40</v>
      </c>
      <c r="B739" s="5" t="s">
        <v>402</v>
      </c>
      <c r="C739" s="5" t="s">
        <v>4830</v>
      </c>
      <c r="D739" s="5" t="s">
        <v>4831</v>
      </c>
      <c r="E739" s="5" t="s">
        <v>3977</v>
      </c>
      <c r="F739" s="5" t="s">
        <v>265</v>
      </c>
      <c r="G739" s="5" t="s">
        <v>345</v>
      </c>
      <c r="H739" s="5" t="n">
        <v>15</v>
      </c>
      <c r="I739" s="5" t="s">
        <v>2429</v>
      </c>
      <c r="J739" s="5" t="s">
        <v>403</v>
      </c>
      <c r="K739" s="5" t="s">
        <v>404</v>
      </c>
    </row>
    <row r="740" customFormat="false" ht="15" hidden="false" customHeight="false" outlineLevel="0" collapsed="false">
      <c r="A740" s="5" t="s">
        <v>86</v>
      </c>
      <c r="B740" s="5" t="s">
        <v>4832</v>
      </c>
      <c r="C740" s="5" t="s">
        <v>4833</v>
      </c>
      <c r="D740" s="5" t="s">
        <v>4834</v>
      </c>
      <c r="E740" s="5" t="s">
        <v>3977</v>
      </c>
      <c r="F740" s="5" t="s">
        <v>265</v>
      </c>
      <c r="G740" s="5" t="s">
        <v>597</v>
      </c>
      <c r="H740" s="5" t="n">
        <v>2</v>
      </c>
      <c r="I740" s="5" t="s">
        <v>2292</v>
      </c>
      <c r="J740" s="5" t="s">
        <v>4835</v>
      </c>
      <c r="K740" s="5" t="s">
        <v>4836</v>
      </c>
    </row>
    <row r="741" customFormat="false" ht="15" hidden="false" customHeight="false" outlineLevel="0" collapsed="false">
      <c r="A741" s="5" t="s">
        <v>92</v>
      </c>
      <c r="B741" s="5" t="s">
        <v>4837</v>
      </c>
      <c r="C741" s="5" t="s">
        <v>4838</v>
      </c>
      <c r="D741" s="5" t="s">
        <v>4839</v>
      </c>
      <c r="E741" s="5" t="s">
        <v>3977</v>
      </c>
      <c r="F741" s="5" t="s">
        <v>265</v>
      </c>
      <c r="G741" s="5" t="s">
        <v>345</v>
      </c>
      <c r="H741" s="5" t="n">
        <v>1</v>
      </c>
      <c r="I741" s="5" t="s">
        <v>1811</v>
      </c>
      <c r="J741" s="5" t="s">
        <v>4840</v>
      </c>
      <c r="K741" s="5" t="s">
        <v>4841</v>
      </c>
    </row>
    <row r="742" customFormat="false" ht="15" hidden="false" customHeight="false" outlineLevel="0" collapsed="false">
      <c r="A742" s="5" t="s">
        <v>60</v>
      </c>
      <c r="B742" s="5" t="s">
        <v>4842</v>
      </c>
      <c r="C742" s="5" t="s">
        <v>4843</v>
      </c>
      <c r="D742" s="5" t="s">
        <v>4844</v>
      </c>
      <c r="E742" s="5" t="s">
        <v>3977</v>
      </c>
      <c r="F742" s="5" t="s">
        <v>265</v>
      </c>
      <c r="G742" s="5" t="s">
        <v>4845</v>
      </c>
      <c r="H742" s="5" t="n">
        <v>5</v>
      </c>
      <c r="I742" s="5" t="s">
        <v>1966</v>
      </c>
      <c r="J742" s="5" t="s">
        <v>4846</v>
      </c>
      <c r="K742" s="5" t="s">
        <v>4847</v>
      </c>
    </row>
    <row r="743" customFormat="false" ht="15" hidden="false" customHeight="false" outlineLevel="0" collapsed="false">
      <c r="A743" s="5" t="s">
        <v>89</v>
      </c>
      <c r="B743" s="5" t="s">
        <v>1420</v>
      </c>
      <c r="C743" s="5" t="s">
        <v>4848</v>
      </c>
      <c r="D743" s="5" t="s">
        <v>4849</v>
      </c>
      <c r="E743" s="5" t="s">
        <v>3977</v>
      </c>
      <c r="F743" s="5" t="s">
        <v>265</v>
      </c>
      <c r="G743" s="5" t="s">
        <v>345</v>
      </c>
      <c r="H743" s="5" t="n">
        <v>4</v>
      </c>
      <c r="I743" s="5" t="s">
        <v>1635</v>
      </c>
      <c r="J743" s="5" t="s">
        <v>1421</v>
      </c>
      <c r="K743" s="5" t="s">
        <v>1422</v>
      </c>
    </row>
    <row r="744" customFormat="false" ht="15" hidden="false" customHeight="false" outlineLevel="0" collapsed="false">
      <c r="A744" s="5" t="s">
        <v>51</v>
      </c>
      <c r="B744" s="5" t="s">
        <v>4850</v>
      </c>
      <c r="C744" s="5" t="s">
        <v>4851</v>
      </c>
      <c r="D744" s="5" t="s">
        <v>4852</v>
      </c>
      <c r="E744" s="5" t="s">
        <v>3977</v>
      </c>
      <c r="F744" s="5" t="s">
        <v>265</v>
      </c>
      <c r="G744" s="5" t="s">
        <v>345</v>
      </c>
      <c r="H744" s="5" t="n">
        <v>3</v>
      </c>
      <c r="I744" s="5" t="s">
        <v>1709</v>
      </c>
      <c r="J744" s="5" t="s">
        <v>4853</v>
      </c>
      <c r="K744" s="5" t="s">
        <v>4854</v>
      </c>
    </row>
    <row r="745" customFormat="false" ht="15" hidden="false" customHeight="false" outlineLevel="0" collapsed="false">
      <c r="A745" s="5" t="s">
        <v>80</v>
      </c>
      <c r="B745" s="5" t="s">
        <v>4855</v>
      </c>
      <c r="C745" s="5" t="s">
        <v>4856</v>
      </c>
      <c r="D745" s="5" t="s">
        <v>4857</v>
      </c>
      <c r="E745" s="5" t="s">
        <v>3977</v>
      </c>
      <c r="F745" s="5" t="s">
        <v>265</v>
      </c>
      <c r="G745" s="5" t="s">
        <v>4858</v>
      </c>
      <c r="H745" s="5" t="n">
        <v>7</v>
      </c>
      <c r="I745" s="5" t="s">
        <v>1647</v>
      </c>
      <c r="J745" s="5" t="s">
        <v>4859</v>
      </c>
      <c r="K745" s="5" t="s">
        <v>4860</v>
      </c>
    </row>
    <row r="746" customFormat="false" ht="15" hidden="false" customHeight="false" outlineLevel="0" collapsed="false">
      <c r="A746" s="5" t="s">
        <v>72</v>
      </c>
      <c r="B746" s="5" t="s">
        <v>4861</v>
      </c>
      <c r="C746" s="5" t="s">
        <v>4862</v>
      </c>
      <c r="D746" s="5" t="s">
        <v>4863</v>
      </c>
      <c r="E746" s="5" t="s">
        <v>3977</v>
      </c>
      <c r="F746" s="5" t="s">
        <v>265</v>
      </c>
      <c r="G746" s="5" t="s">
        <v>345</v>
      </c>
      <c r="H746" s="5" t="n">
        <v>3</v>
      </c>
      <c r="I746" s="5" t="s">
        <v>1656</v>
      </c>
      <c r="J746" s="5" t="s">
        <v>4864</v>
      </c>
      <c r="K746" s="5" t="s">
        <v>4865</v>
      </c>
    </row>
    <row r="747" customFormat="false" ht="15" hidden="false" customHeight="false" outlineLevel="0" collapsed="false">
      <c r="A747" s="5" t="s">
        <v>86</v>
      </c>
      <c r="B747" s="5" t="s">
        <v>4866</v>
      </c>
      <c r="C747" s="5" t="s">
        <v>4867</v>
      </c>
      <c r="D747" s="5" t="s">
        <v>4868</v>
      </c>
      <c r="E747" s="5" t="s">
        <v>3977</v>
      </c>
      <c r="F747" s="5" t="s">
        <v>265</v>
      </c>
      <c r="G747" s="5" t="s">
        <v>345</v>
      </c>
      <c r="H747" s="5" t="n">
        <v>6</v>
      </c>
      <c r="I747" s="5" t="s">
        <v>2292</v>
      </c>
      <c r="J747" s="5" t="s">
        <v>4869</v>
      </c>
      <c r="K747" s="5" t="s">
        <v>4870</v>
      </c>
    </row>
    <row r="748" customFormat="false" ht="15" hidden="false" customHeight="false" outlineLevel="0" collapsed="false">
      <c r="A748" s="5" t="s">
        <v>89</v>
      </c>
      <c r="B748" s="5" t="s">
        <v>4871</v>
      </c>
      <c r="C748" s="5" t="s">
        <v>4872</v>
      </c>
      <c r="D748" s="5" t="s">
        <v>4873</v>
      </c>
      <c r="E748" s="5" t="s">
        <v>3977</v>
      </c>
      <c r="F748" s="5" t="s">
        <v>265</v>
      </c>
      <c r="G748" s="5" t="s">
        <v>345</v>
      </c>
      <c r="H748" s="5" t="n">
        <v>2</v>
      </c>
      <c r="I748" s="5" t="s">
        <v>1656</v>
      </c>
      <c r="J748" s="5" t="s">
        <v>4874</v>
      </c>
      <c r="K748" s="5" t="s">
        <v>4875</v>
      </c>
    </row>
    <row r="749" customFormat="false" ht="15" hidden="false" customHeight="false" outlineLevel="0" collapsed="false">
      <c r="A749" s="5" t="s">
        <v>46</v>
      </c>
      <c r="B749" s="5" t="s">
        <v>4876</v>
      </c>
      <c r="C749" s="5" t="s">
        <v>4877</v>
      </c>
      <c r="D749" s="5" t="s">
        <v>4878</v>
      </c>
      <c r="E749" s="5" t="s">
        <v>3977</v>
      </c>
      <c r="F749" s="5" t="s">
        <v>265</v>
      </c>
      <c r="G749" s="5" t="s">
        <v>345</v>
      </c>
      <c r="H749" s="5" t="n">
        <v>2</v>
      </c>
      <c r="I749" s="5" t="s">
        <v>2537</v>
      </c>
      <c r="J749" s="5" t="s">
        <v>4879</v>
      </c>
      <c r="K749" s="5" t="s">
        <v>4880</v>
      </c>
    </row>
    <row r="750" customFormat="false" ht="15" hidden="false" customHeight="false" outlineLevel="0" collapsed="false">
      <c r="A750" s="5" t="s">
        <v>66</v>
      </c>
      <c r="B750" s="5" t="s">
        <v>976</v>
      </c>
      <c r="C750" s="5" t="s">
        <v>4881</v>
      </c>
      <c r="D750" s="5" t="s">
        <v>4882</v>
      </c>
      <c r="E750" s="5" t="s">
        <v>3977</v>
      </c>
      <c r="F750" s="5" t="s">
        <v>265</v>
      </c>
      <c r="G750" s="5" t="s">
        <v>345</v>
      </c>
      <c r="H750" s="5" t="n">
        <v>2</v>
      </c>
      <c r="I750" s="5" t="s">
        <v>1911</v>
      </c>
      <c r="J750" s="5" t="s">
        <v>977</v>
      </c>
      <c r="K750" s="5" t="s">
        <v>978</v>
      </c>
    </row>
    <row r="751" customFormat="false" ht="15" hidden="false" customHeight="false" outlineLevel="0" collapsed="false">
      <c r="A751" s="5" t="s">
        <v>63</v>
      </c>
      <c r="B751" s="5" t="s">
        <v>4883</v>
      </c>
      <c r="C751" s="5" t="s">
        <v>4884</v>
      </c>
      <c r="D751" s="5" t="s">
        <v>4885</v>
      </c>
      <c r="E751" s="5" t="s">
        <v>3977</v>
      </c>
      <c r="F751" s="5" t="s">
        <v>265</v>
      </c>
      <c r="G751" s="5" t="s">
        <v>345</v>
      </c>
      <c r="H751" s="5" t="n">
        <v>1</v>
      </c>
      <c r="I751" s="5" t="s">
        <v>1709</v>
      </c>
      <c r="J751" s="5" t="s">
        <v>4886</v>
      </c>
      <c r="K751" s="5" t="s">
        <v>4887</v>
      </c>
    </row>
    <row r="752" customFormat="false" ht="15" hidden="false" customHeight="false" outlineLevel="0" collapsed="false">
      <c r="A752" s="5" t="s">
        <v>66</v>
      </c>
      <c r="B752" s="5" t="s">
        <v>4888</v>
      </c>
      <c r="C752" s="5" t="s">
        <v>4889</v>
      </c>
      <c r="D752" s="5" t="s">
        <v>4890</v>
      </c>
      <c r="E752" s="5" t="s">
        <v>3977</v>
      </c>
      <c r="F752" s="5" t="s">
        <v>265</v>
      </c>
      <c r="G752" s="5" t="s">
        <v>345</v>
      </c>
      <c r="H752" s="5" t="n">
        <v>4</v>
      </c>
      <c r="I752" s="5" t="s">
        <v>1911</v>
      </c>
      <c r="J752" s="5" t="s">
        <v>4891</v>
      </c>
      <c r="K752" s="5" t="s">
        <v>4892</v>
      </c>
    </row>
    <row r="753" customFormat="false" ht="15" hidden="false" customHeight="false" outlineLevel="0" collapsed="false">
      <c r="A753" s="5" t="s">
        <v>51</v>
      </c>
      <c r="B753" s="5" t="s">
        <v>711</v>
      </c>
      <c r="C753" s="5" t="s">
        <v>4893</v>
      </c>
      <c r="D753" s="5" t="s">
        <v>4894</v>
      </c>
      <c r="E753" s="5" t="s">
        <v>3977</v>
      </c>
      <c r="F753" s="5" t="s">
        <v>265</v>
      </c>
      <c r="G753" s="5" t="s">
        <v>345</v>
      </c>
      <c r="H753" s="5" t="n">
        <v>2</v>
      </c>
      <c r="I753" s="5" t="s">
        <v>1709</v>
      </c>
      <c r="J753" s="5" t="s">
        <v>712</v>
      </c>
      <c r="K753" s="5" t="s">
        <v>713</v>
      </c>
    </row>
    <row r="754" customFormat="false" ht="15" hidden="false" customHeight="false" outlineLevel="0" collapsed="false">
      <c r="A754" s="5" t="s">
        <v>54</v>
      </c>
      <c r="B754" s="5" t="s">
        <v>774</v>
      </c>
      <c r="C754" s="5" t="s">
        <v>4895</v>
      </c>
      <c r="D754" s="5" t="s">
        <v>4896</v>
      </c>
      <c r="E754" s="5" t="s">
        <v>3977</v>
      </c>
      <c r="F754" s="5" t="s">
        <v>265</v>
      </c>
      <c r="G754" s="5" t="s">
        <v>775</v>
      </c>
      <c r="H754" s="5" t="n">
        <v>5</v>
      </c>
      <c r="I754" s="5" t="s">
        <v>1629</v>
      </c>
      <c r="J754" s="5" t="s">
        <v>776</v>
      </c>
      <c r="K754" s="5" t="s">
        <v>777</v>
      </c>
    </row>
    <row r="755" customFormat="false" ht="15" hidden="false" customHeight="false" outlineLevel="0" collapsed="false">
      <c r="A755" s="5" t="s">
        <v>57</v>
      </c>
      <c r="B755" s="5" t="s">
        <v>821</v>
      </c>
      <c r="C755" s="5" t="s">
        <v>4897</v>
      </c>
      <c r="D755" s="5" t="s">
        <v>4898</v>
      </c>
      <c r="E755" s="5" t="s">
        <v>3977</v>
      </c>
      <c r="F755" s="5" t="s">
        <v>265</v>
      </c>
      <c r="G755" s="5" t="s">
        <v>345</v>
      </c>
      <c r="H755" s="5" t="n">
        <v>2</v>
      </c>
      <c r="I755" s="5" t="s">
        <v>3762</v>
      </c>
      <c r="J755" s="5" t="s">
        <v>822</v>
      </c>
      <c r="K755" s="5" t="s">
        <v>823</v>
      </c>
    </row>
    <row r="756" customFormat="false" ht="15" hidden="false" customHeight="false" outlineLevel="0" collapsed="false">
      <c r="A756" s="5" t="s">
        <v>86</v>
      </c>
      <c r="B756" s="5" t="s">
        <v>4899</v>
      </c>
      <c r="C756" s="5" t="s">
        <v>4900</v>
      </c>
      <c r="D756" s="5" t="s">
        <v>4901</v>
      </c>
      <c r="E756" s="5" t="s">
        <v>3977</v>
      </c>
      <c r="F756" s="5" t="s">
        <v>265</v>
      </c>
      <c r="G756" s="5" t="s">
        <v>760</v>
      </c>
      <c r="H756" s="5" t="n">
        <v>5</v>
      </c>
      <c r="I756" s="5" t="s">
        <v>1647</v>
      </c>
      <c r="J756" s="5" t="s">
        <v>4902</v>
      </c>
      <c r="K756" s="5" t="s">
        <v>4903</v>
      </c>
    </row>
    <row r="757" customFormat="false" ht="15" hidden="false" customHeight="false" outlineLevel="0" collapsed="false">
      <c r="A757" s="5" t="s">
        <v>60</v>
      </c>
      <c r="B757" s="5" t="s">
        <v>861</v>
      </c>
      <c r="C757" s="5" t="s">
        <v>4904</v>
      </c>
      <c r="D757" s="5" t="s">
        <v>4905</v>
      </c>
      <c r="E757" s="5" t="s">
        <v>3977</v>
      </c>
      <c r="F757" s="5" t="s">
        <v>265</v>
      </c>
      <c r="G757" s="5" t="s">
        <v>345</v>
      </c>
      <c r="H757" s="5" t="n">
        <v>2</v>
      </c>
      <c r="I757" s="5" t="s">
        <v>1919</v>
      </c>
      <c r="J757" s="5" t="s">
        <v>862</v>
      </c>
      <c r="K757" s="5" t="s">
        <v>863</v>
      </c>
    </row>
    <row r="758" customFormat="false" ht="15" hidden="false" customHeight="false" outlineLevel="0" collapsed="false">
      <c r="A758" s="5" t="s">
        <v>66</v>
      </c>
      <c r="B758" s="5" t="s">
        <v>4906</v>
      </c>
      <c r="C758" s="5" t="s">
        <v>4907</v>
      </c>
      <c r="D758" s="5" t="s">
        <v>4908</v>
      </c>
      <c r="E758" s="5" t="s">
        <v>3977</v>
      </c>
      <c r="F758" s="5" t="s">
        <v>104</v>
      </c>
      <c r="G758" s="5" t="s">
        <v>4909</v>
      </c>
      <c r="H758" s="5" t="n">
        <v>4</v>
      </c>
      <c r="I758" s="5" t="s">
        <v>1911</v>
      </c>
      <c r="J758" s="5" t="s">
        <v>4910</v>
      </c>
      <c r="K758" s="5" t="s">
        <v>4911</v>
      </c>
    </row>
    <row r="759" customFormat="false" ht="15" hidden="false" customHeight="false" outlineLevel="0" collapsed="false">
      <c r="A759" s="5" t="s">
        <v>83</v>
      </c>
      <c r="B759" s="5" t="s">
        <v>4912</v>
      </c>
      <c r="C759" s="5" t="s">
        <v>4913</v>
      </c>
      <c r="D759" s="5" t="s">
        <v>4914</v>
      </c>
      <c r="E759" s="5" t="s">
        <v>3977</v>
      </c>
      <c r="F759" s="5" t="s">
        <v>265</v>
      </c>
      <c r="G759" s="5" t="s">
        <v>345</v>
      </c>
      <c r="H759" s="5" t="n">
        <v>3</v>
      </c>
      <c r="I759" s="5" t="s">
        <v>1876</v>
      </c>
      <c r="J759" s="5" t="s">
        <v>4915</v>
      </c>
      <c r="K759" s="5" t="s">
        <v>4916</v>
      </c>
    </row>
    <row r="760" customFormat="false" ht="15" hidden="false" customHeight="false" outlineLevel="0" collapsed="false">
      <c r="A760" s="5" t="s">
        <v>43</v>
      </c>
      <c r="B760" s="5" t="s">
        <v>4917</v>
      </c>
      <c r="C760" s="5" t="s">
        <v>4918</v>
      </c>
      <c r="D760" s="5" t="s">
        <v>4919</v>
      </c>
      <c r="E760" s="5" t="s">
        <v>3977</v>
      </c>
      <c r="F760" s="5" t="s">
        <v>265</v>
      </c>
      <c r="G760" s="5" t="s">
        <v>345</v>
      </c>
      <c r="H760" s="5" t="n">
        <v>2</v>
      </c>
      <c r="I760" s="5" t="s">
        <v>1688</v>
      </c>
      <c r="J760" s="5" t="s">
        <v>4920</v>
      </c>
      <c r="K760" s="5" t="s">
        <v>4921</v>
      </c>
    </row>
    <row r="761" customFormat="false" ht="15" hidden="false" customHeight="false" outlineLevel="0" collapsed="false">
      <c r="A761" s="5" t="s">
        <v>80</v>
      </c>
      <c r="B761" s="5" t="s">
        <v>1236</v>
      </c>
      <c r="C761" s="5" t="s">
        <v>4922</v>
      </c>
      <c r="D761" s="5"/>
      <c r="E761" s="5" t="s">
        <v>3977</v>
      </c>
      <c r="F761" s="5" t="s">
        <v>265</v>
      </c>
      <c r="G761" s="5" t="s">
        <v>345</v>
      </c>
      <c r="H761" s="5" t="n">
        <v>2</v>
      </c>
      <c r="I761" s="5" t="s">
        <v>1647</v>
      </c>
      <c r="J761" s="5" t="s">
        <v>1237</v>
      </c>
      <c r="K761" s="5" t="s">
        <v>1238</v>
      </c>
    </row>
    <row r="762" customFormat="false" ht="15" hidden="false" customHeight="false" outlineLevel="0" collapsed="false">
      <c r="A762" s="9" t="s">
        <v>86</v>
      </c>
      <c r="B762" s="9" t="s">
        <v>1349</v>
      </c>
      <c r="C762" s="9" t="s">
        <v>4923</v>
      </c>
      <c r="D762" s="9" t="s">
        <v>4924</v>
      </c>
      <c r="E762" s="9" t="s">
        <v>3977</v>
      </c>
      <c r="F762" s="9" t="s">
        <v>190</v>
      </c>
      <c r="G762" s="9" t="s">
        <v>1350</v>
      </c>
      <c r="H762" s="9" t="n">
        <v>3</v>
      </c>
      <c r="I762" s="9" t="s">
        <v>1966</v>
      </c>
      <c r="J762" s="9" t="s">
        <v>1351</v>
      </c>
      <c r="K762" s="9" t="s">
        <v>1352</v>
      </c>
    </row>
    <row r="763" customFormat="false" ht="15" hidden="false" customHeight="false" outlineLevel="0" collapsed="false">
      <c r="A763" s="5" t="s">
        <v>43</v>
      </c>
      <c r="B763" s="5" t="s">
        <v>480</v>
      </c>
      <c r="C763" s="5" t="s">
        <v>4925</v>
      </c>
      <c r="D763" s="5" t="s">
        <v>4926</v>
      </c>
      <c r="E763" s="5" t="s">
        <v>3977</v>
      </c>
      <c r="F763" s="5" t="s">
        <v>265</v>
      </c>
      <c r="G763" s="5" t="s">
        <v>345</v>
      </c>
      <c r="H763" s="5" t="n">
        <v>2</v>
      </c>
      <c r="I763" s="5" t="s">
        <v>1966</v>
      </c>
      <c r="J763" s="5" t="s">
        <v>481</v>
      </c>
      <c r="K763" s="5" t="s">
        <v>482</v>
      </c>
    </row>
    <row r="764" customFormat="false" ht="15" hidden="false" customHeight="false" outlineLevel="0" collapsed="false">
      <c r="A764" s="5" t="s">
        <v>95</v>
      </c>
      <c r="B764" s="5" t="s">
        <v>1518</v>
      </c>
      <c r="C764" s="5" t="s">
        <v>4927</v>
      </c>
      <c r="D764" s="5" t="s">
        <v>4928</v>
      </c>
      <c r="E764" s="5" t="s">
        <v>3977</v>
      </c>
      <c r="F764" s="5" t="s">
        <v>265</v>
      </c>
      <c r="G764" s="5" t="s">
        <v>345</v>
      </c>
      <c r="H764" s="5" t="n">
        <v>2</v>
      </c>
      <c r="I764" s="5" t="s">
        <v>1635</v>
      </c>
      <c r="J764" s="5" t="s">
        <v>1519</v>
      </c>
      <c r="K764" s="5" t="s">
        <v>1520</v>
      </c>
    </row>
    <row r="765" customFormat="false" ht="15" hidden="false" customHeight="false" outlineLevel="0" collapsed="false">
      <c r="A765" s="5" t="s">
        <v>92</v>
      </c>
      <c r="B765" s="5" t="s">
        <v>4929</v>
      </c>
      <c r="C765" s="5" t="s">
        <v>4930</v>
      </c>
      <c r="D765" s="5" t="s">
        <v>4931</v>
      </c>
      <c r="E765" s="5" t="s">
        <v>3977</v>
      </c>
      <c r="F765" s="5" t="s">
        <v>265</v>
      </c>
      <c r="G765" s="5" t="s">
        <v>382</v>
      </c>
      <c r="H765" s="5" t="n">
        <v>3</v>
      </c>
      <c r="I765" s="5" t="s">
        <v>3373</v>
      </c>
      <c r="J765" s="5" t="s">
        <v>4932</v>
      </c>
      <c r="K765" s="5" t="s">
        <v>4933</v>
      </c>
    </row>
    <row r="766" customFormat="false" ht="15" hidden="false" customHeight="false" outlineLevel="0" collapsed="false">
      <c r="A766" s="5" t="s">
        <v>43</v>
      </c>
      <c r="B766" s="5" t="s">
        <v>4934</v>
      </c>
      <c r="C766" s="5" t="s">
        <v>4935</v>
      </c>
      <c r="D766" s="5" t="s">
        <v>4936</v>
      </c>
      <c r="E766" s="5" t="s">
        <v>3977</v>
      </c>
      <c r="F766" s="5" t="s">
        <v>104</v>
      </c>
      <c r="G766" s="5" t="s">
        <v>459</v>
      </c>
      <c r="H766" s="5" t="n">
        <v>3</v>
      </c>
      <c r="I766" s="5" t="s">
        <v>1971</v>
      </c>
      <c r="J766" s="5" t="s">
        <v>4937</v>
      </c>
      <c r="K766" s="5" t="s">
        <v>4938</v>
      </c>
    </row>
    <row r="767" customFormat="false" ht="15" hidden="false" customHeight="false" outlineLevel="0" collapsed="false">
      <c r="A767" s="5" t="s">
        <v>40</v>
      </c>
      <c r="B767" s="5" t="s">
        <v>406</v>
      </c>
      <c r="C767" s="5" t="s">
        <v>4939</v>
      </c>
      <c r="D767" s="5" t="s">
        <v>4940</v>
      </c>
      <c r="E767" s="5" t="s">
        <v>3977</v>
      </c>
      <c r="F767" s="5" t="s">
        <v>265</v>
      </c>
      <c r="G767" s="5" t="s">
        <v>345</v>
      </c>
      <c r="H767" s="5" t="n">
        <v>5</v>
      </c>
      <c r="I767" s="5" t="s">
        <v>1709</v>
      </c>
      <c r="J767" s="5" t="s">
        <v>407</v>
      </c>
      <c r="K767" s="5" t="s">
        <v>408</v>
      </c>
    </row>
    <row r="768" customFormat="false" ht="15" hidden="false" customHeight="false" outlineLevel="0" collapsed="false">
      <c r="A768" s="5" t="s">
        <v>63</v>
      </c>
      <c r="B768" s="5" t="s">
        <v>4941</v>
      </c>
      <c r="C768" s="5" t="s">
        <v>4942</v>
      </c>
      <c r="D768" s="5" t="s">
        <v>4943</v>
      </c>
      <c r="E768" s="5" t="s">
        <v>4944</v>
      </c>
      <c r="F768" s="5" t="s">
        <v>104</v>
      </c>
      <c r="G768" s="5" t="s">
        <v>445</v>
      </c>
      <c r="H768" s="5" t="n">
        <v>2</v>
      </c>
      <c r="I768" s="5" t="s">
        <v>1656</v>
      </c>
      <c r="J768" s="5" t="s">
        <v>4945</v>
      </c>
      <c r="K768" s="5" t="s">
        <v>4946</v>
      </c>
    </row>
    <row r="769" customFormat="false" ht="15" hidden="false" customHeight="false" outlineLevel="0" collapsed="false">
      <c r="A769" s="5" t="s">
        <v>63</v>
      </c>
      <c r="B769" s="5" t="s">
        <v>4947</v>
      </c>
      <c r="C769" s="5" t="s">
        <v>4948</v>
      </c>
      <c r="D769" s="5" t="s">
        <v>4949</v>
      </c>
      <c r="E769" s="5" t="s">
        <v>4944</v>
      </c>
      <c r="F769" s="5" t="s">
        <v>265</v>
      </c>
      <c r="G769" s="5" t="s">
        <v>436</v>
      </c>
      <c r="H769" s="5"/>
      <c r="I769" s="5" t="s">
        <v>1656</v>
      </c>
      <c r="J769" s="5" t="s">
        <v>4950</v>
      </c>
      <c r="K769" s="5" t="s">
        <v>4951</v>
      </c>
    </row>
    <row r="770" customFormat="false" ht="15" hidden="false" customHeight="false" outlineLevel="0" collapsed="false">
      <c r="A770" s="5" t="s">
        <v>69</v>
      </c>
      <c r="B770" s="5" t="s">
        <v>4952</v>
      </c>
      <c r="C770" s="5" t="s">
        <v>4953</v>
      </c>
      <c r="D770" s="5" t="s">
        <v>4954</v>
      </c>
      <c r="E770" s="5" t="s">
        <v>4944</v>
      </c>
      <c r="F770" s="5" t="s">
        <v>265</v>
      </c>
      <c r="G770" s="5" t="s">
        <v>345</v>
      </c>
      <c r="H770" s="5" t="n">
        <v>2</v>
      </c>
      <c r="I770" s="5" t="s">
        <v>1664</v>
      </c>
      <c r="J770" s="5" t="s">
        <v>4955</v>
      </c>
      <c r="K770" s="5" t="s">
        <v>4956</v>
      </c>
    </row>
    <row r="771" customFormat="false" ht="15" hidden="false" customHeight="false" outlineLevel="0" collapsed="false">
      <c r="A771" s="5" t="s">
        <v>46</v>
      </c>
      <c r="B771" s="5" t="s">
        <v>4957</v>
      </c>
      <c r="C771" s="5" t="s">
        <v>4958</v>
      </c>
      <c r="D771" s="5" t="s">
        <v>4959</v>
      </c>
      <c r="E771" s="5" t="s">
        <v>4944</v>
      </c>
      <c r="F771" s="5" t="s">
        <v>265</v>
      </c>
      <c r="G771" s="5" t="s">
        <v>382</v>
      </c>
      <c r="H771" s="5" t="n">
        <v>1</v>
      </c>
      <c r="I771" s="5" t="s">
        <v>1652</v>
      </c>
      <c r="J771" s="5" t="s">
        <v>4960</v>
      </c>
      <c r="K771" s="5" t="s">
        <v>4961</v>
      </c>
    </row>
    <row r="772" customFormat="false" ht="15" hidden="false" customHeight="false" outlineLevel="0" collapsed="false">
      <c r="A772" s="5" t="s">
        <v>98</v>
      </c>
      <c r="B772" s="5" t="s">
        <v>1546</v>
      </c>
      <c r="C772" s="5" t="s">
        <v>4962</v>
      </c>
      <c r="D772" s="5" t="s">
        <v>4963</v>
      </c>
      <c r="E772" s="5" t="s">
        <v>4944</v>
      </c>
      <c r="F772" s="5" t="s">
        <v>265</v>
      </c>
      <c r="G772" s="5" t="s">
        <v>345</v>
      </c>
      <c r="H772" s="5" t="n">
        <v>2</v>
      </c>
      <c r="I772" s="5" t="s">
        <v>2208</v>
      </c>
      <c r="J772" s="5" t="s">
        <v>1547</v>
      </c>
      <c r="K772" s="5" t="s">
        <v>1548</v>
      </c>
    </row>
    <row r="773" customFormat="false" ht="15" hidden="false" customHeight="false" outlineLevel="0" collapsed="false">
      <c r="A773" s="5" t="s">
        <v>86</v>
      </c>
      <c r="B773" s="5" t="s">
        <v>4964</v>
      </c>
      <c r="C773" s="5" t="s">
        <v>4965</v>
      </c>
      <c r="D773" s="5"/>
      <c r="E773" s="5" t="s">
        <v>4944</v>
      </c>
      <c r="F773" s="5" t="s">
        <v>265</v>
      </c>
      <c r="G773" s="5" t="s">
        <v>345</v>
      </c>
      <c r="H773" s="5"/>
      <c r="I773" s="5" t="s">
        <v>1647</v>
      </c>
      <c r="J773" s="5" t="s">
        <v>4966</v>
      </c>
      <c r="K773" s="5" t="s">
        <v>4967</v>
      </c>
    </row>
    <row r="774" customFormat="false" ht="15" hidden="false" customHeight="false" outlineLevel="0" collapsed="false">
      <c r="A774" s="5" t="s">
        <v>86</v>
      </c>
      <c r="B774" s="5" t="s">
        <v>4968</v>
      </c>
      <c r="C774" s="5" t="s">
        <v>4969</v>
      </c>
      <c r="D774" s="5" t="s">
        <v>4970</v>
      </c>
      <c r="E774" s="5" t="s">
        <v>4944</v>
      </c>
      <c r="F774" s="5" t="s">
        <v>265</v>
      </c>
      <c r="G774" s="5" t="s">
        <v>345</v>
      </c>
      <c r="H774" s="5" t="n">
        <v>2</v>
      </c>
      <c r="I774" s="5" t="s">
        <v>1966</v>
      </c>
      <c r="J774" s="5" t="s">
        <v>4971</v>
      </c>
      <c r="K774" s="5" t="s">
        <v>4972</v>
      </c>
    </row>
    <row r="775" customFormat="false" ht="15" hidden="false" customHeight="false" outlineLevel="0" collapsed="false">
      <c r="A775" s="5" t="s">
        <v>47</v>
      </c>
      <c r="B775" s="5" t="s">
        <v>4973</v>
      </c>
      <c r="C775" s="5" t="s">
        <v>4974</v>
      </c>
      <c r="D775" s="5" t="s">
        <v>4975</v>
      </c>
      <c r="E775" s="5" t="s">
        <v>4944</v>
      </c>
      <c r="F775" s="5" t="s">
        <v>265</v>
      </c>
      <c r="G775" s="5" t="s">
        <v>345</v>
      </c>
      <c r="H775" s="5" t="n">
        <v>2</v>
      </c>
      <c r="I775" s="5" t="s">
        <v>1670</v>
      </c>
      <c r="J775" s="5" t="s">
        <v>4976</v>
      </c>
      <c r="K775" s="5" t="s">
        <v>4977</v>
      </c>
    </row>
    <row r="776" customFormat="false" ht="15" hidden="false" customHeight="false" outlineLevel="0" collapsed="false">
      <c r="A776" s="5" t="s">
        <v>43</v>
      </c>
      <c r="B776" s="5" t="s">
        <v>431</v>
      </c>
      <c r="C776" s="5" t="s">
        <v>4978</v>
      </c>
      <c r="D776" s="5" t="s">
        <v>4979</v>
      </c>
      <c r="E776" s="5" t="s">
        <v>4944</v>
      </c>
      <c r="F776" s="5" t="s">
        <v>265</v>
      </c>
      <c r="G776" s="5" t="s">
        <v>345</v>
      </c>
      <c r="H776" s="5" t="n">
        <v>4</v>
      </c>
      <c r="I776" s="5" t="s">
        <v>1966</v>
      </c>
      <c r="J776" s="5" t="s">
        <v>432</v>
      </c>
      <c r="K776" s="5" t="s">
        <v>433</v>
      </c>
    </row>
    <row r="777" customFormat="false" ht="15" hidden="false" customHeight="false" outlineLevel="0" collapsed="false">
      <c r="A777" s="5" t="s">
        <v>47</v>
      </c>
      <c r="B777" s="5" t="s">
        <v>578</v>
      </c>
      <c r="C777" s="5" t="s">
        <v>4980</v>
      </c>
      <c r="D777" s="5" t="s">
        <v>4981</v>
      </c>
      <c r="E777" s="5" t="s">
        <v>4944</v>
      </c>
      <c r="F777" s="5" t="s">
        <v>104</v>
      </c>
      <c r="G777" s="5" t="s">
        <v>579</v>
      </c>
      <c r="H777" s="5" t="n">
        <v>7</v>
      </c>
      <c r="I777" s="5" t="s">
        <v>1898</v>
      </c>
      <c r="J777" s="5" t="s">
        <v>580</v>
      </c>
      <c r="K777" s="5" t="s">
        <v>581</v>
      </c>
    </row>
    <row r="778" customFormat="false" ht="15" hidden="false" customHeight="false" outlineLevel="0" collapsed="false">
      <c r="A778" s="5" t="s">
        <v>80</v>
      </c>
      <c r="B778" s="5" t="s">
        <v>4982</v>
      </c>
      <c r="C778" s="5" t="s">
        <v>4983</v>
      </c>
      <c r="D778" s="5"/>
      <c r="E778" s="5" t="s">
        <v>4944</v>
      </c>
      <c r="F778" s="5" t="s">
        <v>265</v>
      </c>
      <c r="G778" s="5" t="s">
        <v>345</v>
      </c>
      <c r="H778" s="5" t="n">
        <v>4</v>
      </c>
      <c r="I778" s="5" t="s">
        <v>1647</v>
      </c>
      <c r="J778" s="5" t="s">
        <v>4984</v>
      </c>
      <c r="K778" s="5" t="s">
        <v>4985</v>
      </c>
    </row>
    <row r="779" customFormat="false" ht="15" hidden="false" customHeight="false" outlineLevel="0" collapsed="false">
      <c r="A779" s="5" t="s">
        <v>83</v>
      </c>
      <c r="B779" s="5" t="s">
        <v>1263</v>
      </c>
      <c r="C779" s="5" t="s">
        <v>4986</v>
      </c>
      <c r="D779" s="5" t="s">
        <v>4987</v>
      </c>
      <c r="E779" s="5" t="s">
        <v>4944</v>
      </c>
      <c r="F779" s="5" t="s">
        <v>265</v>
      </c>
      <c r="G779" s="5" t="s">
        <v>775</v>
      </c>
      <c r="H779" s="5" t="n">
        <v>4</v>
      </c>
      <c r="I779" s="5" t="s">
        <v>2709</v>
      </c>
      <c r="J779" s="5" t="s">
        <v>1264</v>
      </c>
      <c r="K779" s="5" t="s">
        <v>1265</v>
      </c>
    </row>
    <row r="780" customFormat="false" ht="15" hidden="false" customHeight="false" outlineLevel="0" collapsed="false">
      <c r="A780" s="5" t="s">
        <v>63</v>
      </c>
      <c r="B780" s="5" t="s">
        <v>4988</v>
      </c>
      <c r="C780" s="5" t="s">
        <v>4989</v>
      </c>
      <c r="D780" s="5" t="s">
        <v>4990</v>
      </c>
      <c r="E780" s="5" t="s">
        <v>4944</v>
      </c>
      <c r="F780" s="5" t="s">
        <v>104</v>
      </c>
      <c r="G780" s="5" t="s">
        <v>1116</v>
      </c>
      <c r="H780" s="5" t="n">
        <v>3</v>
      </c>
      <c r="I780" s="5" t="s">
        <v>1656</v>
      </c>
      <c r="J780" s="5" t="s">
        <v>4991</v>
      </c>
      <c r="K780" s="5" t="s">
        <v>4992</v>
      </c>
    </row>
    <row r="781" customFormat="false" ht="15" hidden="false" customHeight="false" outlineLevel="0" collapsed="false">
      <c r="A781" s="5" t="s">
        <v>69</v>
      </c>
      <c r="B781" s="5" t="s">
        <v>4993</v>
      </c>
      <c r="C781" s="5" t="s">
        <v>4994</v>
      </c>
      <c r="D781" s="5" t="s">
        <v>4995</v>
      </c>
      <c r="E781" s="5" t="s">
        <v>4944</v>
      </c>
      <c r="F781" s="5" t="s">
        <v>265</v>
      </c>
      <c r="G781" s="5" t="s">
        <v>345</v>
      </c>
      <c r="H781" s="5" t="n">
        <v>2</v>
      </c>
      <c r="I781" s="5" t="s">
        <v>1664</v>
      </c>
      <c r="J781" s="5" t="s">
        <v>4996</v>
      </c>
      <c r="K781" s="5" t="s">
        <v>4997</v>
      </c>
    </row>
    <row r="782" customFormat="false" ht="15" hidden="false" customHeight="false" outlineLevel="0" collapsed="false">
      <c r="A782" s="5" t="s">
        <v>51</v>
      </c>
      <c r="B782" s="5" t="s">
        <v>4998</v>
      </c>
      <c r="C782" s="5" t="s">
        <v>4999</v>
      </c>
      <c r="D782" s="5"/>
      <c r="E782" s="5" t="s">
        <v>4944</v>
      </c>
      <c r="F782" s="5" t="s">
        <v>265</v>
      </c>
      <c r="G782" s="5" t="s">
        <v>345</v>
      </c>
      <c r="H782" s="5" t="n">
        <v>2</v>
      </c>
      <c r="I782" s="5" t="s">
        <v>1656</v>
      </c>
      <c r="J782" s="5" t="s">
        <v>5000</v>
      </c>
      <c r="K782" s="5" t="s">
        <v>5001</v>
      </c>
    </row>
    <row r="783" customFormat="false" ht="15" hidden="false" customHeight="false" outlineLevel="0" collapsed="false">
      <c r="A783" s="5" t="s">
        <v>69</v>
      </c>
      <c r="B783" s="5" t="s">
        <v>1009</v>
      </c>
      <c r="C783" s="5" t="s">
        <v>5002</v>
      </c>
      <c r="D783" s="5" t="s">
        <v>5003</v>
      </c>
      <c r="E783" s="5" t="s">
        <v>4944</v>
      </c>
      <c r="F783" s="5" t="s">
        <v>265</v>
      </c>
      <c r="G783" s="5" t="s">
        <v>345</v>
      </c>
      <c r="H783" s="5" t="n">
        <v>2</v>
      </c>
      <c r="I783" s="5" t="s">
        <v>1664</v>
      </c>
      <c r="J783" s="5" t="s">
        <v>1012</v>
      </c>
      <c r="K783" s="5" t="s">
        <v>5004</v>
      </c>
    </row>
    <row r="784" customFormat="false" ht="15" hidden="false" customHeight="false" outlineLevel="0" collapsed="false">
      <c r="A784" s="5" t="s">
        <v>86</v>
      </c>
      <c r="B784" s="5" t="s">
        <v>5005</v>
      </c>
      <c r="C784" s="5" t="s">
        <v>5006</v>
      </c>
      <c r="D784" s="5"/>
      <c r="E784" s="5" t="s">
        <v>4944</v>
      </c>
      <c r="F784" s="5" t="s">
        <v>265</v>
      </c>
      <c r="G784" s="5" t="s">
        <v>345</v>
      </c>
      <c r="H784" s="5" t="n">
        <v>2</v>
      </c>
      <c r="I784" s="5" t="s">
        <v>1919</v>
      </c>
      <c r="J784" s="5" t="s">
        <v>5007</v>
      </c>
      <c r="K784" s="5" t="s">
        <v>5008</v>
      </c>
    </row>
    <row r="785" customFormat="false" ht="15" hidden="false" customHeight="false" outlineLevel="0" collapsed="false">
      <c r="A785" s="5" t="s">
        <v>92</v>
      </c>
      <c r="B785" s="5" t="s">
        <v>5009</v>
      </c>
      <c r="C785" s="5" t="s">
        <v>5010</v>
      </c>
      <c r="D785" s="5" t="s">
        <v>5011</v>
      </c>
      <c r="E785" s="5" t="s">
        <v>4944</v>
      </c>
      <c r="F785" s="5" t="s">
        <v>104</v>
      </c>
      <c r="G785" s="5" t="s">
        <v>5012</v>
      </c>
      <c r="H785" s="5" t="n">
        <v>3</v>
      </c>
      <c r="I785" s="5" t="s">
        <v>1876</v>
      </c>
      <c r="J785" s="5" t="s">
        <v>5013</v>
      </c>
      <c r="K785" s="5" t="s">
        <v>5014</v>
      </c>
    </row>
    <row r="786" customFormat="false" ht="15" hidden="false" customHeight="false" outlineLevel="0" collapsed="false">
      <c r="A786" s="5" t="s">
        <v>54</v>
      </c>
      <c r="B786" s="5" t="s">
        <v>743</v>
      </c>
      <c r="C786" s="5" t="s">
        <v>5015</v>
      </c>
      <c r="D786" s="5" t="s">
        <v>5016</v>
      </c>
      <c r="E786" s="5" t="s">
        <v>4944</v>
      </c>
      <c r="F786" s="5" t="s">
        <v>265</v>
      </c>
      <c r="G786" s="5" t="s">
        <v>345</v>
      </c>
      <c r="H786" s="5" t="n">
        <v>5</v>
      </c>
      <c r="I786" s="5" t="s">
        <v>1709</v>
      </c>
      <c r="J786" s="5" t="s">
        <v>744</v>
      </c>
      <c r="K786" s="5" t="s">
        <v>745</v>
      </c>
    </row>
    <row r="787" customFormat="false" ht="15" hidden="false" customHeight="false" outlineLevel="0" collapsed="false">
      <c r="A787" s="5" t="s">
        <v>46</v>
      </c>
      <c r="B787" s="5" t="s">
        <v>5017</v>
      </c>
      <c r="C787" s="5" t="s">
        <v>5018</v>
      </c>
      <c r="D787" s="5" t="s">
        <v>5019</v>
      </c>
      <c r="E787" s="5" t="s">
        <v>4944</v>
      </c>
      <c r="F787" s="5" t="s">
        <v>265</v>
      </c>
      <c r="G787" s="5" t="s">
        <v>345</v>
      </c>
      <c r="H787" s="5" t="n">
        <v>2</v>
      </c>
      <c r="I787" s="5" t="s">
        <v>1709</v>
      </c>
      <c r="J787" s="5" t="s">
        <v>5020</v>
      </c>
      <c r="K787" s="5" t="s">
        <v>5021</v>
      </c>
    </row>
    <row r="788" customFormat="false" ht="15" hidden="false" customHeight="false" outlineLevel="0" collapsed="false">
      <c r="A788" s="5" t="s">
        <v>69</v>
      </c>
      <c r="B788" s="5" t="s">
        <v>5022</v>
      </c>
      <c r="C788" s="5" t="s">
        <v>5023</v>
      </c>
      <c r="D788" s="5" t="s">
        <v>5024</v>
      </c>
      <c r="E788" s="5" t="s">
        <v>4944</v>
      </c>
      <c r="F788" s="5" t="s">
        <v>104</v>
      </c>
      <c r="G788" s="5" t="s">
        <v>445</v>
      </c>
      <c r="H788" s="5" t="n">
        <v>3</v>
      </c>
      <c r="I788" s="5" t="s">
        <v>1709</v>
      </c>
      <c r="J788" s="5" t="s">
        <v>5025</v>
      </c>
      <c r="K788" s="5" t="s">
        <v>5026</v>
      </c>
    </row>
    <row r="789" customFormat="false" ht="15" hidden="false" customHeight="false" outlineLevel="0" collapsed="false">
      <c r="A789" s="5" t="s">
        <v>47</v>
      </c>
      <c r="B789" s="5" t="s">
        <v>5027</v>
      </c>
      <c r="C789" s="5" t="s">
        <v>5028</v>
      </c>
      <c r="D789" s="5" t="s">
        <v>5029</v>
      </c>
      <c r="E789" s="5" t="s">
        <v>4944</v>
      </c>
      <c r="F789" s="5" t="s">
        <v>104</v>
      </c>
      <c r="G789" s="5" t="s">
        <v>5030</v>
      </c>
      <c r="H789" s="5" t="n">
        <v>3</v>
      </c>
      <c r="I789" s="5" t="s">
        <v>1670</v>
      </c>
      <c r="J789" s="5" t="s">
        <v>5031</v>
      </c>
      <c r="K789" s="5" t="s">
        <v>5032</v>
      </c>
    </row>
    <row r="790" customFormat="false" ht="15" hidden="false" customHeight="false" outlineLevel="0" collapsed="false">
      <c r="A790" s="5" t="s">
        <v>46</v>
      </c>
      <c r="B790" s="5" t="s">
        <v>5033</v>
      </c>
      <c r="C790" s="5" t="s">
        <v>5034</v>
      </c>
      <c r="D790" s="5" t="s">
        <v>5035</v>
      </c>
      <c r="E790" s="5" t="s">
        <v>4944</v>
      </c>
      <c r="F790" s="5" t="s">
        <v>265</v>
      </c>
      <c r="G790" s="5" t="s">
        <v>345</v>
      </c>
      <c r="H790" s="5" t="n">
        <v>2</v>
      </c>
      <c r="I790" s="5" t="s">
        <v>1652</v>
      </c>
      <c r="J790" s="5" t="s">
        <v>5036</v>
      </c>
      <c r="K790" s="5" t="s">
        <v>5037</v>
      </c>
    </row>
    <row r="791" customFormat="false" ht="15" hidden="false" customHeight="false" outlineLevel="0" collapsed="false">
      <c r="A791" s="5" t="s">
        <v>98</v>
      </c>
      <c r="B791" s="5" t="s">
        <v>5038</v>
      </c>
      <c r="C791" s="5" t="s">
        <v>5039</v>
      </c>
      <c r="D791" s="5" t="s">
        <v>5040</v>
      </c>
      <c r="E791" s="5" t="s">
        <v>4944</v>
      </c>
      <c r="F791" s="5" t="s">
        <v>265</v>
      </c>
      <c r="G791" s="5" t="s">
        <v>345</v>
      </c>
      <c r="H791" s="5" t="n">
        <v>2</v>
      </c>
      <c r="I791" s="5" t="s">
        <v>2208</v>
      </c>
      <c r="J791" s="5" t="s">
        <v>5041</v>
      </c>
      <c r="K791" s="5" t="s">
        <v>5042</v>
      </c>
    </row>
    <row r="792" customFormat="false" ht="15" hidden="false" customHeight="false" outlineLevel="0" collapsed="false">
      <c r="A792" s="5" t="s">
        <v>69</v>
      </c>
      <c r="B792" s="5" t="s">
        <v>5043</v>
      </c>
      <c r="C792" s="5" t="s">
        <v>5044</v>
      </c>
      <c r="D792" s="5" t="s">
        <v>5045</v>
      </c>
      <c r="E792" s="5" t="s">
        <v>4944</v>
      </c>
      <c r="F792" s="5" t="s">
        <v>265</v>
      </c>
      <c r="G792" s="5" t="s">
        <v>382</v>
      </c>
      <c r="H792" s="5" t="n">
        <v>1</v>
      </c>
      <c r="I792" s="5" t="s">
        <v>1800</v>
      </c>
      <c r="J792" s="5" t="s">
        <v>5046</v>
      </c>
      <c r="K792" s="5" t="s">
        <v>5047</v>
      </c>
    </row>
    <row r="793" customFormat="false" ht="15" hidden="false" customHeight="false" outlineLevel="0" collapsed="false">
      <c r="A793" s="5" t="s">
        <v>47</v>
      </c>
      <c r="B793" s="5" t="s">
        <v>5048</v>
      </c>
      <c r="C793" s="5" t="s">
        <v>5049</v>
      </c>
      <c r="D793" s="5" t="s">
        <v>5050</v>
      </c>
      <c r="E793" s="5" t="s">
        <v>4944</v>
      </c>
      <c r="F793" s="5" t="s">
        <v>265</v>
      </c>
      <c r="G793" s="5" t="s">
        <v>345</v>
      </c>
      <c r="H793" s="5" t="n">
        <v>2</v>
      </c>
      <c r="I793" s="5" t="s">
        <v>1652</v>
      </c>
      <c r="J793" s="5" t="s">
        <v>5051</v>
      </c>
      <c r="K793" s="5" t="s">
        <v>5052</v>
      </c>
    </row>
    <row r="794" customFormat="false" ht="15" hidden="false" customHeight="false" outlineLevel="0" collapsed="false">
      <c r="A794" s="5" t="s">
        <v>66</v>
      </c>
      <c r="B794" s="5" t="s">
        <v>952</v>
      </c>
      <c r="C794" s="5" t="s">
        <v>5053</v>
      </c>
      <c r="D794" s="5" t="s">
        <v>5054</v>
      </c>
      <c r="E794" s="5" t="s">
        <v>4944</v>
      </c>
      <c r="F794" s="5" t="s">
        <v>265</v>
      </c>
      <c r="G794" s="5" t="s">
        <v>345</v>
      </c>
      <c r="H794" s="5" t="n">
        <v>5</v>
      </c>
      <c r="I794" s="5" t="s">
        <v>1911</v>
      </c>
      <c r="J794" s="5" t="s">
        <v>953</v>
      </c>
      <c r="K794" s="5" t="s">
        <v>954</v>
      </c>
    </row>
    <row r="795" customFormat="false" ht="15" hidden="false" customHeight="false" outlineLevel="0" collapsed="false">
      <c r="A795" s="5" t="s">
        <v>46</v>
      </c>
      <c r="B795" s="5" t="s">
        <v>5055</v>
      </c>
      <c r="C795" s="5" t="s">
        <v>5056</v>
      </c>
      <c r="D795" s="5" t="s">
        <v>5057</v>
      </c>
      <c r="E795" s="5" t="s">
        <v>4944</v>
      </c>
      <c r="F795" s="5" t="s">
        <v>265</v>
      </c>
      <c r="G795" s="5" t="s">
        <v>345</v>
      </c>
      <c r="H795" s="5" t="n">
        <v>3</v>
      </c>
      <c r="I795" s="5" t="s">
        <v>1640</v>
      </c>
      <c r="J795" s="5" t="s">
        <v>5058</v>
      </c>
      <c r="K795" s="5" t="s">
        <v>5059</v>
      </c>
    </row>
    <row r="796" customFormat="false" ht="15" hidden="false" customHeight="false" outlineLevel="0" collapsed="false">
      <c r="A796" s="5" t="s">
        <v>83</v>
      </c>
      <c r="B796" s="5" t="s">
        <v>5060</v>
      </c>
      <c r="C796" s="5" t="s">
        <v>5061</v>
      </c>
      <c r="D796" s="5" t="s">
        <v>5062</v>
      </c>
      <c r="E796" s="5" t="s">
        <v>4944</v>
      </c>
      <c r="F796" s="5" t="s">
        <v>265</v>
      </c>
      <c r="G796" s="5" t="s">
        <v>760</v>
      </c>
      <c r="H796" s="5" t="n">
        <v>2</v>
      </c>
      <c r="I796" s="5" t="s">
        <v>2709</v>
      </c>
      <c r="J796" s="5" t="s">
        <v>5063</v>
      </c>
      <c r="K796" s="5" t="s">
        <v>5064</v>
      </c>
    </row>
    <row r="797" customFormat="false" ht="15" hidden="false" customHeight="false" outlineLevel="0" collapsed="false">
      <c r="A797" s="5" t="s">
        <v>80</v>
      </c>
      <c r="B797" s="5" t="s">
        <v>5065</v>
      </c>
      <c r="C797" s="5" t="s">
        <v>5066</v>
      </c>
      <c r="D797" s="5" t="s">
        <v>5067</v>
      </c>
      <c r="E797" s="5" t="s">
        <v>4944</v>
      </c>
      <c r="F797" s="5" t="s">
        <v>265</v>
      </c>
      <c r="G797" s="5" t="s">
        <v>345</v>
      </c>
      <c r="H797" s="5" t="n">
        <v>2</v>
      </c>
      <c r="I797" s="5" t="s">
        <v>1647</v>
      </c>
      <c r="J797" s="5" t="s">
        <v>5068</v>
      </c>
      <c r="K797" s="5" t="s">
        <v>5069</v>
      </c>
    </row>
    <row r="798" customFormat="false" ht="15" hidden="false" customHeight="false" outlineLevel="0" collapsed="false">
      <c r="A798" s="5" t="s">
        <v>80</v>
      </c>
      <c r="B798" s="5" t="s">
        <v>5070</v>
      </c>
      <c r="C798" s="5" t="s">
        <v>5071</v>
      </c>
      <c r="D798" s="5" t="s">
        <v>5072</v>
      </c>
      <c r="E798" s="5" t="s">
        <v>4944</v>
      </c>
      <c r="F798" s="5" t="s">
        <v>265</v>
      </c>
      <c r="G798" s="5" t="s">
        <v>345</v>
      </c>
      <c r="H798" s="5" t="n">
        <v>4</v>
      </c>
      <c r="I798" s="5" t="s">
        <v>1647</v>
      </c>
      <c r="J798" s="5" t="s">
        <v>5073</v>
      </c>
      <c r="K798" s="5" t="s">
        <v>5074</v>
      </c>
    </row>
    <row r="799" customFormat="false" ht="15" hidden="false" customHeight="false" outlineLevel="0" collapsed="false">
      <c r="A799" s="5" t="s">
        <v>92</v>
      </c>
      <c r="B799" s="5" t="s">
        <v>5075</v>
      </c>
      <c r="C799" s="5" t="s">
        <v>5076</v>
      </c>
      <c r="D799" s="5" t="s">
        <v>5077</v>
      </c>
      <c r="E799" s="5" t="s">
        <v>4944</v>
      </c>
      <c r="F799" s="5" t="s">
        <v>265</v>
      </c>
      <c r="G799" s="5" t="s">
        <v>345</v>
      </c>
      <c r="H799" s="5" t="n">
        <v>2</v>
      </c>
      <c r="I799" s="5" t="s">
        <v>1709</v>
      </c>
      <c r="J799" s="5" t="s">
        <v>5078</v>
      </c>
      <c r="K799" s="5" t="s">
        <v>5079</v>
      </c>
    </row>
    <row r="800" customFormat="false" ht="15" hidden="false" customHeight="false" outlineLevel="0" collapsed="false">
      <c r="A800" s="5" t="s">
        <v>46</v>
      </c>
      <c r="B800" s="5" t="s">
        <v>5080</v>
      </c>
      <c r="C800" s="5" t="s">
        <v>5081</v>
      </c>
      <c r="D800" s="5" t="s">
        <v>5082</v>
      </c>
      <c r="E800" s="5" t="s">
        <v>4944</v>
      </c>
      <c r="F800" s="5" t="s">
        <v>265</v>
      </c>
      <c r="G800" s="5" t="s">
        <v>436</v>
      </c>
      <c r="H800" s="5" t="n">
        <v>5</v>
      </c>
      <c r="I800" s="5" t="s">
        <v>3509</v>
      </c>
      <c r="J800" s="5" t="s">
        <v>5083</v>
      </c>
      <c r="K800" s="5" t="s">
        <v>5084</v>
      </c>
    </row>
    <row r="801" customFormat="false" ht="15" hidden="false" customHeight="false" outlineLevel="0" collapsed="false">
      <c r="A801" s="5" t="s">
        <v>86</v>
      </c>
      <c r="B801" s="5" t="s">
        <v>5085</v>
      </c>
      <c r="C801" s="5" t="s">
        <v>5086</v>
      </c>
      <c r="D801" s="5" t="s">
        <v>5087</v>
      </c>
      <c r="E801" s="5" t="s">
        <v>4944</v>
      </c>
      <c r="F801" s="5" t="s">
        <v>265</v>
      </c>
      <c r="G801" s="5" t="s">
        <v>345</v>
      </c>
      <c r="H801" s="5" t="n">
        <v>2</v>
      </c>
      <c r="I801" s="5" t="s">
        <v>2292</v>
      </c>
      <c r="J801" s="5" t="s">
        <v>5088</v>
      </c>
      <c r="K801" s="5" t="s">
        <v>5089</v>
      </c>
    </row>
    <row r="802" customFormat="false" ht="15" hidden="false" customHeight="false" outlineLevel="0" collapsed="false">
      <c r="A802" s="5" t="s">
        <v>89</v>
      </c>
      <c r="B802" s="5" t="s">
        <v>5090</v>
      </c>
      <c r="C802" s="5" t="s">
        <v>5091</v>
      </c>
      <c r="D802" s="5" t="s">
        <v>5092</v>
      </c>
      <c r="E802" s="5" t="s">
        <v>4944</v>
      </c>
      <c r="F802" s="5" t="s">
        <v>265</v>
      </c>
      <c r="G802" s="5" t="s">
        <v>345</v>
      </c>
      <c r="H802" s="5" t="n">
        <v>4</v>
      </c>
      <c r="I802" s="5" t="s">
        <v>1709</v>
      </c>
      <c r="J802" s="5" t="s">
        <v>5093</v>
      </c>
      <c r="K802" s="5" t="s">
        <v>5094</v>
      </c>
    </row>
    <row r="803" customFormat="false" ht="15" hidden="false" customHeight="false" outlineLevel="0" collapsed="false">
      <c r="A803" s="5" t="s">
        <v>54</v>
      </c>
      <c r="B803" s="5" t="s">
        <v>5095</v>
      </c>
      <c r="C803" s="5" t="s">
        <v>5096</v>
      </c>
      <c r="D803" s="5" t="s">
        <v>5097</v>
      </c>
      <c r="E803" s="5" t="s">
        <v>4944</v>
      </c>
      <c r="F803" s="5" t="s">
        <v>265</v>
      </c>
      <c r="G803" s="5" t="s">
        <v>345</v>
      </c>
      <c r="H803" s="5" t="n">
        <v>2</v>
      </c>
      <c r="I803" s="5" t="s">
        <v>1882</v>
      </c>
      <c r="J803" s="5" t="s">
        <v>5098</v>
      </c>
      <c r="K803" s="5" t="s">
        <v>5099</v>
      </c>
    </row>
    <row r="804" customFormat="false" ht="15" hidden="false" customHeight="false" outlineLevel="0" collapsed="false">
      <c r="A804" s="5" t="s">
        <v>51</v>
      </c>
      <c r="B804" s="5" t="s">
        <v>5100</v>
      </c>
      <c r="C804" s="5" t="s">
        <v>5101</v>
      </c>
      <c r="D804" s="5" t="s">
        <v>5102</v>
      </c>
      <c r="E804" s="5" t="s">
        <v>4944</v>
      </c>
      <c r="F804" s="5" t="s">
        <v>265</v>
      </c>
      <c r="G804" s="5" t="s">
        <v>345</v>
      </c>
      <c r="H804" s="5" t="n">
        <v>2</v>
      </c>
      <c r="I804" s="5" t="s">
        <v>1971</v>
      </c>
      <c r="J804" s="5" t="s">
        <v>5103</v>
      </c>
      <c r="K804" s="5" t="s">
        <v>5104</v>
      </c>
    </row>
    <row r="805" customFormat="false" ht="15" hidden="false" customHeight="false" outlineLevel="0" collapsed="false">
      <c r="A805" s="5" t="s">
        <v>66</v>
      </c>
      <c r="B805" s="5" t="s">
        <v>5105</v>
      </c>
      <c r="C805" s="5" t="s">
        <v>5106</v>
      </c>
      <c r="D805" s="5" t="s">
        <v>5107</v>
      </c>
      <c r="E805" s="5" t="s">
        <v>4944</v>
      </c>
      <c r="F805" s="5" t="s">
        <v>104</v>
      </c>
      <c r="G805" s="5" t="s">
        <v>579</v>
      </c>
      <c r="H805" s="5" t="n">
        <v>2</v>
      </c>
      <c r="I805" s="5" t="s">
        <v>1656</v>
      </c>
      <c r="J805" s="5" t="s">
        <v>5108</v>
      </c>
      <c r="K805" s="5" t="s">
        <v>5109</v>
      </c>
    </row>
    <row r="806" customFormat="false" ht="15" hidden="false" customHeight="false" outlineLevel="0" collapsed="false">
      <c r="A806" s="5" t="s">
        <v>51</v>
      </c>
      <c r="B806" s="5" t="s">
        <v>5110</v>
      </c>
      <c r="C806" s="5" t="s">
        <v>5111</v>
      </c>
      <c r="D806" s="5" t="s">
        <v>5112</v>
      </c>
      <c r="E806" s="5" t="s">
        <v>4944</v>
      </c>
      <c r="F806" s="5" t="s">
        <v>265</v>
      </c>
      <c r="G806" s="5" t="s">
        <v>345</v>
      </c>
      <c r="H806" s="5" t="n">
        <v>6</v>
      </c>
      <c r="I806" s="5" t="s">
        <v>1747</v>
      </c>
      <c r="J806" s="5" t="s">
        <v>5113</v>
      </c>
      <c r="K806" s="5" t="s">
        <v>5114</v>
      </c>
    </row>
    <row r="807" customFormat="false" ht="15" hidden="false" customHeight="false" outlineLevel="0" collapsed="false">
      <c r="A807" s="5" t="s">
        <v>40</v>
      </c>
      <c r="B807" s="5" t="s">
        <v>5115</v>
      </c>
      <c r="C807" s="5" t="s">
        <v>5116</v>
      </c>
      <c r="D807" s="5" t="s">
        <v>5117</v>
      </c>
      <c r="E807" s="5" t="s">
        <v>4944</v>
      </c>
      <c r="F807" s="5" t="s">
        <v>265</v>
      </c>
      <c r="G807" s="5" t="s">
        <v>5118</v>
      </c>
      <c r="H807" s="5" t="n">
        <v>2</v>
      </c>
      <c r="I807" s="5" t="s">
        <v>2550</v>
      </c>
      <c r="J807" s="5" t="s">
        <v>5119</v>
      </c>
      <c r="K807" s="5" t="s">
        <v>5120</v>
      </c>
    </row>
    <row r="808" customFormat="false" ht="15" hidden="false" customHeight="false" outlineLevel="0" collapsed="false">
      <c r="A808" s="5" t="s">
        <v>92</v>
      </c>
      <c r="B808" s="5" t="s">
        <v>5121</v>
      </c>
      <c r="C808" s="5" t="s">
        <v>5122</v>
      </c>
      <c r="D808" s="5" t="s">
        <v>5123</v>
      </c>
      <c r="E808" s="5" t="s">
        <v>4944</v>
      </c>
      <c r="F808" s="5" t="s">
        <v>104</v>
      </c>
      <c r="G808" s="5" t="s">
        <v>5124</v>
      </c>
      <c r="H808" s="5" t="n">
        <v>3</v>
      </c>
      <c r="I808" s="5" t="s">
        <v>3468</v>
      </c>
      <c r="J808" s="5" t="s">
        <v>5125</v>
      </c>
      <c r="K808" s="5" t="s">
        <v>5126</v>
      </c>
    </row>
    <row r="809" customFormat="false" ht="15" hidden="false" customHeight="false" outlineLevel="0" collapsed="false">
      <c r="A809" s="5" t="s">
        <v>72</v>
      </c>
      <c r="B809" s="5" t="s">
        <v>1081</v>
      </c>
      <c r="C809" s="5" t="s">
        <v>5127</v>
      </c>
      <c r="D809" s="5" t="s">
        <v>5128</v>
      </c>
      <c r="E809" s="5" t="s">
        <v>4944</v>
      </c>
      <c r="F809" s="5" t="s">
        <v>265</v>
      </c>
      <c r="G809" s="5" t="s">
        <v>345</v>
      </c>
      <c r="H809" s="5" t="n">
        <v>1</v>
      </c>
      <c r="I809" s="5" t="s">
        <v>1647</v>
      </c>
      <c r="J809" s="5" t="s">
        <v>1082</v>
      </c>
      <c r="K809" s="5" t="s">
        <v>1083</v>
      </c>
    </row>
    <row r="810" customFormat="false" ht="15" hidden="false" customHeight="false" outlineLevel="0" collapsed="false">
      <c r="A810" s="5" t="s">
        <v>63</v>
      </c>
      <c r="B810" s="5" t="s">
        <v>5129</v>
      </c>
      <c r="C810" s="5" t="s">
        <v>5130</v>
      </c>
      <c r="D810" s="5" t="s">
        <v>5131</v>
      </c>
      <c r="E810" s="5" t="s">
        <v>4944</v>
      </c>
      <c r="F810" s="5" t="s">
        <v>104</v>
      </c>
      <c r="G810" s="5" t="s">
        <v>5132</v>
      </c>
      <c r="H810" s="5" t="n">
        <v>1</v>
      </c>
      <c r="I810" s="5" t="s">
        <v>1664</v>
      </c>
      <c r="J810" s="5" t="s">
        <v>5133</v>
      </c>
      <c r="K810" s="5" t="s">
        <v>5134</v>
      </c>
    </row>
    <row r="811" customFormat="false" ht="15" hidden="false" customHeight="false" outlineLevel="0" collapsed="false">
      <c r="A811" s="5" t="s">
        <v>46</v>
      </c>
      <c r="B811" s="5" t="s">
        <v>530</v>
      </c>
      <c r="C811" s="5" t="s">
        <v>5135</v>
      </c>
      <c r="D811" s="5" t="s">
        <v>5136</v>
      </c>
      <c r="E811" s="5" t="s">
        <v>4944</v>
      </c>
      <c r="F811" s="5" t="s">
        <v>265</v>
      </c>
      <c r="G811" s="5" t="s">
        <v>436</v>
      </c>
      <c r="H811" s="5" t="n">
        <v>2</v>
      </c>
      <c r="I811" s="5" t="s">
        <v>1652</v>
      </c>
      <c r="J811" s="5" t="s">
        <v>531</v>
      </c>
      <c r="K811" s="5" t="s">
        <v>532</v>
      </c>
    </row>
    <row r="812" customFormat="false" ht="15" hidden="false" customHeight="false" outlineLevel="0" collapsed="false">
      <c r="A812" s="5" t="s">
        <v>46</v>
      </c>
      <c r="B812" s="5" t="s">
        <v>5137</v>
      </c>
      <c r="C812" s="5" t="s">
        <v>5138</v>
      </c>
      <c r="D812" s="5"/>
      <c r="E812" s="5" t="s">
        <v>4944</v>
      </c>
      <c r="F812" s="5" t="s">
        <v>265</v>
      </c>
      <c r="G812" s="5" t="s">
        <v>4845</v>
      </c>
      <c r="H812" s="5" t="n">
        <v>3</v>
      </c>
      <c r="I812" s="5" t="s">
        <v>1971</v>
      </c>
      <c r="J812" s="5" t="s">
        <v>5139</v>
      </c>
      <c r="K812" s="5" t="s">
        <v>5140</v>
      </c>
    </row>
    <row r="813" customFormat="false" ht="15" hidden="false" customHeight="false" outlineLevel="0" collapsed="false">
      <c r="A813" s="5" t="s">
        <v>76</v>
      </c>
      <c r="B813" s="5" t="s">
        <v>1169</v>
      </c>
      <c r="C813" s="5" t="s">
        <v>5141</v>
      </c>
      <c r="D813" s="5" t="s">
        <v>5142</v>
      </c>
      <c r="E813" s="5" t="s">
        <v>4944</v>
      </c>
      <c r="F813" s="5" t="s">
        <v>265</v>
      </c>
      <c r="G813" s="5" t="s">
        <v>345</v>
      </c>
      <c r="H813" s="5" t="n">
        <v>2</v>
      </c>
      <c r="I813" s="5" t="s">
        <v>1656</v>
      </c>
      <c r="J813" s="5" t="s">
        <v>1170</v>
      </c>
      <c r="K813" s="5" t="s">
        <v>1171</v>
      </c>
    </row>
    <row r="814" customFormat="false" ht="15" hidden="false" customHeight="false" outlineLevel="0" collapsed="false">
      <c r="A814" s="5" t="s">
        <v>66</v>
      </c>
      <c r="B814" s="5" t="s">
        <v>5143</v>
      </c>
      <c r="C814" s="5" t="s">
        <v>5144</v>
      </c>
      <c r="D814" s="5" t="s">
        <v>5145</v>
      </c>
      <c r="E814" s="5" t="s">
        <v>4944</v>
      </c>
      <c r="F814" s="5" t="s">
        <v>265</v>
      </c>
      <c r="G814" s="5" t="s">
        <v>345</v>
      </c>
      <c r="H814" s="5" t="n">
        <v>2</v>
      </c>
      <c r="I814" s="5" t="s">
        <v>1664</v>
      </c>
      <c r="J814" s="5" t="s">
        <v>5146</v>
      </c>
      <c r="K814" s="5" t="s">
        <v>5147</v>
      </c>
    </row>
    <row r="815" customFormat="false" ht="15" hidden="false" customHeight="false" outlineLevel="0" collapsed="false">
      <c r="A815" s="5" t="s">
        <v>86</v>
      </c>
      <c r="B815" s="5" t="s">
        <v>1329</v>
      </c>
      <c r="C815" s="5" t="s">
        <v>5148</v>
      </c>
      <c r="D815" s="5" t="s">
        <v>5149</v>
      </c>
      <c r="E815" s="5" t="s">
        <v>4944</v>
      </c>
      <c r="F815" s="5" t="s">
        <v>265</v>
      </c>
      <c r="G815" s="5" t="s">
        <v>345</v>
      </c>
      <c r="H815" s="5" t="n">
        <v>3</v>
      </c>
      <c r="I815" s="5" t="s">
        <v>1647</v>
      </c>
      <c r="J815" s="5" t="s">
        <v>1330</v>
      </c>
      <c r="K815" s="5" t="s">
        <v>1331</v>
      </c>
    </row>
    <row r="816" customFormat="false" ht="15" hidden="false" customHeight="false" outlineLevel="0" collapsed="false">
      <c r="A816" s="5" t="s">
        <v>40</v>
      </c>
      <c r="B816" s="5" t="s">
        <v>5150</v>
      </c>
      <c r="C816" s="5" t="s">
        <v>5151</v>
      </c>
      <c r="D816" s="5" t="s">
        <v>5152</v>
      </c>
      <c r="E816" s="5" t="s">
        <v>4944</v>
      </c>
      <c r="F816" s="5" t="s">
        <v>265</v>
      </c>
      <c r="G816" s="5" t="s">
        <v>775</v>
      </c>
      <c r="H816" s="5" t="n">
        <v>12</v>
      </c>
      <c r="I816" s="5" t="s">
        <v>1652</v>
      </c>
      <c r="J816" s="5" t="s">
        <v>5153</v>
      </c>
      <c r="K816" s="5" t="s">
        <v>5154</v>
      </c>
    </row>
    <row r="817" customFormat="false" ht="15" hidden="false" customHeight="false" outlineLevel="0" collapsed="false">
      <c r="A817" s="5" t="s">
        <v>83</v>
      </c>
      <c r="B817" s="5" t="s">
        <v>5155</v>
      </c>
      <c r="C817" s="5" t="s">
        <v>5156</v>
      </c>
      <c r="D817" s="5" t="s">
        <v>5157</v>
      </c>
      <c r="E817" s="5" t="s">
        <v>4944</v>
      </c>
      <c r="F817" s="5" t="s">
        <v>265</v>
      </c>
      <c r="G817" s="5" t="s">
        <v>775</v>
      </c>
      <c r="H817" s="5"/>
      <c r="I817" s="5" t="s">
        <v>2229</v>
      </c>
      <c r="J817" s="5" t="s">
        <v>5158</v>
      </c>
      <c r="K817" s="5" t="s">
        <v>5159</v>
      </c>
    </row>
    <row r="818" customFormat="false" ht="15" hidden="false" customHeight="false" outlineLevel="0" collapsed="false">
      <c r="A818" s="5" t="s">
        <v>86</v>
      </c>
      <c r="B818" s="5" t="s">
        <v>5160</v>
      </c>
      <c r="C818" s="5" t="s">
        <v>5161</v>
      </c>
      <c r="D818" s="5" t="s">
        <v>5162</v>
      </c>
      <c r="E818" s="5" t="s">
        <v>4944</v>
      </c>
      <c r="F818" s="5" t="s">
        <v>104</v>
      </c>
      <c r="G818" s="5" t="s">
        <v>3908</v>
      </c>
      <c r="H818" s="5" t="n">
        <v>8</v>
      </c>
      <c r="I818" s="5" t="s">
        <v>2248</v>
      </c>
      <c r="J818" s="5" t="s">
        <v>5163</v>
      </c>
      <c r="K818" s="5" t="s">
        <v>5164</v>
      </c>
    </row>
    <row r="819" customFormat="false" ht="15" hidden="false" customHeight="false" outlineLevel="0" collapsed="false">
      <c r="A819" s="5" t="s">
        <v>75</v>
      </c>
      <c r="B819" s="5" t="s">
        <v>5165</v>
      </c>
      <c r="C819" s="5" t="s">
        <v>5166</v>
      </c>
      <c r="D819" s="5"/>
      <c r="E819" s="5" t="s">
        <v>4944</v>
      </c>
      <c r="F819" s="5" t="s">
        <v>265</v>
      </c>
      <c r="G819" s="5" t="s">
        <v>345</v>
      </c>
      <c r="H819" s="5" t="n">
        <v>2</v>
      </c>
      <c r="I819" s="5" t="s">
        <v>1709</v>
      </c>
      <c r="J819" s="5" t="s">
        <v>5167</v>
      </c>
      <c r="K819" s="5" t="s">
        <v>5168</v>
      </c>
    </row>
    <row r="820" customFormat="false" ht="15" hidden="false" customHeight="false" outlineLevel="0" collapsed="false">
      <c r="A820" s="9" t="s">
        <v>75</v>
      </c>
      <c r="B820" s="9" t="s">
        <v>1111</v>
      </c>
      <c r="C820" s="9" t="s">
        <v>5169</v>
      </c>
      <c r="D820" s="9" t="s">
        <v>5170</v>
      </c>
      <c r="E820" s="9" t="s">
        <v>4944</v>
      </c>
      <c r="F820" s="9" t="s">
        <v>190</v>
      </c>
      <c r="G820" s="9" t="s">
        <v>695</v>
      </c>
      <c r="H820" s="9" t="n">
        <v>2</v>
      </c>
      <c r="I820" s="9" t="s">
        <v>1800</v>
      </c>
      <c r="J820" s="9" t="s">
        <v>1112</v>
      </c>
      <c r="K820" s="9" t="s">
        <v>1113</v>
      </c>
    </row>
    <row r="821" customFormat="false" ht="15" hidden="false" customHeight="false" outlineLevel="0" collapsed="false">
      <c r="A821" s="5" t="s">
        <v>83</v>
      </c>
      <c r="B821" s="5" t="s">
        <v>5171</v>
      </c>
      <c r="C821" s="5" t="s">
        <v>5172</v>
      </c>
      <c r="D821" s="5" t="s">
        <v>5173</v>
      </c>
      <c r="E821" s="5" t="s">
        <v>4944</v>
      </c>
      <c r="F821" s="5" t="s">
        <v>265</v>
      </c>
      <c r="G821" s="5" t="s">
        <v>3994</v>
      </c>
      <c r="H821" s="5" t="n">
        <v>3</v>
      </c>
      <c r="I821" s="5" t="s">
        <v>1876</v>
      </c>
      <c r="J821" s="5" t="s">
        <v>5174</v>
      </c>
      <c r="K821" s="5" t="s">
        <v>5175</v>
      </c>
    </row>
    <row r="822" customFormat="false" ht="15" hidden="false" customHeight="false" outlineLevel="0" collapsed="false">
      <c r="A822" s="5" t="s">
        <v>80</v>
      </c>
      <c r="B822" s="5" t="s">
        <v>5176</v>
      </c>
      <c r="C822" s="5" t="s">
        <v>5177</v>
      </c>
      <c r="D822" s="5" t="s">
        <v>5178</v>
      </c>
      <c r="E822" s="5" t="s">
        <v>4944</v>
      </c>
      <c r="F822" s="5" t="s">
        <v>265</v>
      </c>
      <c r="G822" s="5" t="s">
        <v>345</v>
      </c>
      <c r="H822" s="5" t="n">
        <v>6</v>
      </c>
      <c r="I822" s="5" t="s">
        <v>1647</v>
      </c>
      <c r="J822" s="5" t="s">
        <v>5179</v>
      </c>
      <c r="K822" s="5" t="s">
        <v>5180</v>
      </c>
    </row>
    <row r="823" customFormat="false" ht="15" hidden="false" customHeight="false" outlineLevel="0" collapsed="false">
      <c r="A823" s="5" t="s">
        <v>57</v>
      </c>
      <c r="B823" s="5" t="s">
        <v>5181</v>
      </c>
      <c r="C823" s="5" t="s">
        <v>5182</v>
      </c>
      <c r="D823" s="5" t="s">
        <v>5183</v>
      </c>
      <c r="E823" s="5" t="s">
        <v>4944</v>
      </c>
      <c r="F823" s="5" t="s">
        <v>265</v>
      </c>
      <c r="G823" s="5" t="s">
        <v>345</v>
      </c>
      <c r="H823" s="5" t="n">
        <v>4</v>
      </c>
      <c r="I823" s="5" t="s">
        <v>2162</v>
      </c>
      <c r="J823" s="5" t="s">
        <v>5184</v>
      </c>
      <c r="K823" s="5" t="s">
        <v>5185</v>
      </c>
    </row>
    <row r="824" customFormat="false" ht="15" hidden="false" customHeight="false" outlineLevel="0" collapsed="false">
      <c r="A824" s="5" t="s">
        <v>43</v>
      </c>
      <c r="B824" s="5" t="s">
        <v>5186</v>
      </c>
      <c r="C824" s="5" t="s">
        <v>5187</v>
      </c>
      <c r="D824" s="5" t="s">
        <v>5188</v>
      </c>
      <c r="E824" s="5" t="s">
        <v>4944</v>
      </c>
      <c r="F824" s="5" t="s">
        <v>265</v>
      </c>
      <c r="G824" s="5" t="s">
        <v>345</v>
      </c>
      <c r="H824" s="5" t="n">
        <v>2</v>
      </c>
      <c r="I824" s="5" t="s">
        <v>2292</v>
      </c>
      <c r="J824" s="5" t="s">
        <v>5189</v>
      </c>
      <c r="K824" s="5" t="s">
        <v>5190</v>
      </c>
    </row>
    <row r="825" customFormat="false" ht="15" hidden="false" customHeight="false" outlineLevel="0" collapsed="false">
      <c r="A825" s="5" t="s">
        <v>66</v>
      </c>
      <c r="B825" s="5" t="s">
        <v>5191</v>
      </c>
      <c r="C825" s="5" t="s">
        <v>5192</v>
      </c>
      <c r="D825" s="5" t="s">
        <v>5193</v>
      </c>
      <c r="E825" s="5" t="s">
        <v>4944</v>
      </c>
      <c r="F825" s="5" t="s">
        <v>265</v>
      </c>
      <c r="G825" s="5" t="s">
        <v>345</v>
      </c>
      <c r="H825" s="5" t="n">
        <v>1</v>
      </c>
      <c r="I825" s="5" t="s">
        <v>1911</v>
      </c>
      <c r="J825" s="5" t="s">
        <v>5194</v>
      </c>
      <c r="K825" s="5" t="s">
        <v>5195</v>
      </c>
    </row>
    <row r="826" customFormat="false" ht="15" hidden="false" customHeight="false" outlineLevel="0" collapsed="false">
      <c r="A826" s="5" t="s">
        <v>75</v>
      </c>
      <c r="B826" s="5" t="s">
        <v>5196</v>
      </c>
      <c r="C826" s="5" t="s">
        <v>5197</v>
      </c>
      <c r="D826" s="5" t="s">
        <v>5198</v>
      </c>
      <c r="E826" s="5" t="s">
        <v>4944</v>
      </c>
      <c r="F826" s="5" t="s">
        <v>265</v>
      </c>
      <c r="G826" s="5" t="s">
        <v>345</v>
      </c>
      <c r="H826" s="5" t="n">
        <v>2</v>
      </c>
      <c r="I826" s="5" t="s">
        <v>1800</v>
      </c>
      <c r="J826" s="5" t="s">
        <v>5199</v>
      </c>
      <c r="K826" s="5" t="s">
        <v>5200</v>
      </c>
    </row>
    <row r="827" customFormat="false" ht="15" hidden="false" customHeight="false" outlineLevel="0" collapsed="false">
      <c r="A827" s="5" t="s">
        <v>80</v>
      </c>
      <c r="B827" s="5" t="s">
        <v>5201</v>
      </c>
      <c r="C827" s="5" t="s">
        <v>5202</v>
      </c>
      <c r="D827" s="5" t="s">
        <v>5203</v>
      </c>
      <c r="E827" s="5" t="s">
        <v>4944</v>
      </c>
      <c r="F827" s="5" t="s">
        <v>265</v>
      </c>
      <c r="G827" s="5" t="s">
        <v>345</v>
      </c>
      <c r="H827" s="5" t="n">
        <v>2</v>
      </c>
      <c r="I827" s="5" t="s">
        <v>1647</v>
      </c>
      <c r="J827" s="5"/>
      <c r="K827" s="5" t="s">
        <v>5204</v>
      </c>
    </row>
    <row r="828" customFormat="false" ht="15" hidden="false" customHeight="false" outlineLevel="0" collapsed="false">
      <c r="A828" s="5" t="s">
        <v>63</v>
      </c>
      <c r="B828" s="5" t="s">
        <v>5205</v>
      </c>
      <c r="C828" s="5" t="s">
        <v>5206</v>
      </c>
      <c r="D828" s="5" t="s">
        <v>5207</v>
      </c>
      <c r="E828" s="5" t="s">
        <v>4944</v>
      </c>
      <c r="F828" s="5" t="s">
        <v>265</v>
      </c>
      <c r="G828" s="5" t="s">
        <v>345</v>
      </c>
      <c r="H828" s="5" t="n">
        <v>3</v>
      </c>
      <c r="I828" s="5" t="s">
        <v>1656</v>
      </c>
      <c r="J828" s="5" t="s">
        <v>5208</v>
      </c>
      <c r="K828" s="5" t="s">
        <v>5209</v>
      </c>
    </row>
    <row r="829" customFormat="false" ht="15" hidden="false" customHeight="false" outlineLevel="0" collapsed="false">
      <c r="A829" s="5" t="s">
        <v>95</v>
      </c>
      <c r="B829" s="5" t="s">
        <v>5210</v>
      </c>
      <c r="C829" s="5" t="s">
        <v>5211</v>
      </c>
      <c r="D829" s="5"/>
      <c r="E829" s="5" t="s">
        <v>4944</v>
      </c>
      <c r="F829" s="5" t="s">
        <v>265</v>
      </c>
      <c r="G829" s="5" t="s">
        <v>345</v>
      </c>
      <c r="H829" s="5"/>
      <c r="I829" s="5" t="s">
        <v>1829</v>
      </c>
      <c r="J829" s="5" t="s">
        <v>5212</v>
      </c>
      <c r="K829" s="5" t="s">
        <v>5213</v>
      </c>
    </row>
    <row r="830" customFormat="false" ht="15" hidden="false" customHeight="false" outlineLevel="0" collapsed="false">
      <c r="A830" s="5" t="s">
        <v>86</v>
      </c>
      <c r="B830" s="5" t="s">
        <v>5214</v>
      </c>
      <c r="C830" s="5" t="s">
        <v>5215</v>
      </c>
      <c r="D830" s="5" t="s">
        <v>5216</v>
      </c>
      <c r="E830" s="5" t="s">
        <v>4944</v>
      </c>
      <c r="F830" s="5" t="s">
        <v>265</v>
      </c>
      <c r="G830" s="5" t="s">
        <v>345</v>
      </c>
      <c r="H830" s="5" t="n">
        <v>4</v>
      </c>
      <c r="I830" s="5" t="s">
        <v>2248</v>
      </c>
      <c r="J830" s="5" t="s">
        <v>5217</v>
      </c>
      <c r="K830" s="5" t="s">
        <v>5218</v>
      </c>
    </row>
    <row r="831" customFormat="false" ht="15" hidden="false" customHeight="false" outlineLevel="0" collapsed="false">
      <c r="A831" s="5" t="s">
        <v>63</v>
      </c>
      <c r="B831" s="5" t="s">
        <v>5219</v>
      </c>
      <c r="C831" s="5" t="s">
        <v>5220</v>
      </c>
      <c r="D831" s="5" t="s">
        <v>5221</v>
      </c>
      <c r="E831" s="5" t="s">
        <v>4944</v>
      </c>
      <c r="F831" s="5" t="s">
        <v>265</v>
      </c>
      <c r="G831" s="5" t="s">
        <v>345</v>
      </c>
      <c r="H831" s="5" t="n">
        <v>2</v>
      </c>
      <c r="I831" s="5" t="s">
        <v>1664</v>
      </c>
      <c r="J831" s="5" t="s">
        <v>5222</v>
      </c>
      <c r="K831" s="5" t="s">
        <v>5223</v>
      </c>
    </row>
    <row r="832" customFormat="false" ht="15" hidden="false" customHeight="false" outlineLevel="0" collapsed="false">
      <c r="A832" s="5" t="s">
        <v>75</v>
      </c>
      <c r="B832" s="5" t="s">
        <v>1115</v>
      </c>
      <c r="C832" s="5" t="s">
        <v>5224</v>
      </c>
      <c r="D832" s="5" t="s">
        <v>5225</v>
      </c>
      <c r="E832" s="5" t="s">
        <v>4944</v>
      </c>
      <c r="F832" s="5" t="s">
        <v>104</v>
      </c>
      <c r="G832" s="5" t="s">
        <v>1116</v>
      </c>
      <c r="H832" s="5" t="n">
        <v>1</v>
      </c>
      <c r="I832" s="5" t="s">
        <v>1664</v>
      </c>
      <c r="J832" s="5" t="s">
        <v>1117</v>
      </c>
      <c r="K832" s="5" t="s">
        <v>1118</v>
      </c>
    </row>
    <row r="833" customFormat="false" ht="15" hidden="false" customHeight="false" outlineLevel="0" collapsed="false">
      <c r="A833" s="5" t="s">
        <v>54</v>
      </c>
      <c r="B833" s="5" t="s">
        <v>5226</v>
      </c>
      <c r="C833" s="5" t="s">
        <v>5227</v>
      </c>
      <c r="D833" s="5" t="s">
        <v>5228</v>
      </c>
      <c r="E833" s="5" t="s">
        <v>4944</v>
      </c>
      <c r="F833" s="5" t="s">
        <v>265</v>
      </c>
      <c r="G833" s="5" t="s">
        <v>345</v>
      </c>
      <c r="H833" s="5" t="n">
        <v>6</v>
      </c>
      <c r="I833" s="5" t="s">
        <v>1629</v>
      </c>
      <c r="J833" s="5" t="s">
        <v>5229</v>
      </c>
      <c r="K833" s="5" t="s">
        <v>5230</v>
      </c>
    </row>
    <row r="834" customFormat="false" ht="15" hidden="false" customHeight="false" outlineLevel="0" collapsed="false">
      <c r="A834" s="5" t="s">
        <v>60</v>
      </c>
      <c r="B834" s="5" t="s">
        <v>5231</v>
      </c>
      <c r="C834" s="5" t="s">
        <v>5232</v>
      </c>
      <c r="D834" s="5" t="s">
        <v>5233</v>
      </c>
      <c r="E834" s="5" t="s">
        <v>4944</v>
      </c>
      <c r="F834" s="5" t="s">
        <v>265</v>
      </c>
      <c r="G834" s="5" t="s">
        <v>345</v>
      </c>
      <c r="H834" s="5" t="n">
        <v>2</v>
      </c>
      <c r="I834" s="5" t="s">
        <v>1760</v>
      </c>
      <c r="J834" s="5" t="s">
        <v>5234</v>
      </c>
      <c r="K834" s="5" t="s">
        <v>5235</v>
      </c>
    </row>
    <row r="835" customFormat="false" ht="15" hidden="false" customHeight="false" outlineLevel="0" collapsed="false">
      <c r="A835" s="5" t="s">
        <v>75</v>
      </c>
      <c r="B835" s="5" t="s">
        <v>5236</v>
      </c>
      <c r="C835" s="5" t="s">
        <v>5237</v>
      </c>
      <c r="D835" s="5" t="s">
        <v>5237</v>
      </c>
      <c r="E835" s="5" t="s">
        <v>4944</v>
      </c>
      <c r="F835" s="5" t="s">
        <v>265</v>
      </c>
      <c r="G835" s="5" t="s">
        <v>345</v>
      </c>
      <c r="H835" s="5" t="n">
        <v>2</v>
      </c>
      <c r="I835" s="5" t="s">
        <v>1709</v>
      </c>
      <c r="J835" s="5" t="s">
        <v>5238</v>
      </c>
      <c r="K835" s="5" t="s">
        <v>5239</v>
      </c>
    </row>
    <row r="836" customFormat="false" ht="15" hidden="false" customHeight="false" outlineLevel="0" collapsed="false">
      <c r="A836" s="5" t="s">
        <v>92</v>
      </c>
      <c r="B836" s="5" t="s">
        <v>5240</v>
      </c>
      <c r="C836" s="5" t="s">
        <v>5241</v>
      </c>
      <c r="D836" s="5" t="s">
        <v>5242</v>
      </c>
      <c r="E836" s="5" t="s">
        <v>4944</v>
      </c>
      <c r="F836" s="5" t="s">
        <v>265</v>
      </c>
      <c r="G836" s="5" t="s">
        <v>345</v>
      </c>
      <c r="H836" s="5"/>
      <c r="I836" s="5" t="s">
        <v>3373</v>
      </c>
      <c r="J836" s="5" t="s">
        <v>5243</v>
      </c>
      <c r="K836" s="5" t="s">
        <v>5244</v>
      </c>
    </row>
    <row r="837" customFormat="false" ht="15" hidden="false" customHeight="false" outlineLevel="0" collapsed="false">
      <c r="A837" s="5" t="s">
        <v>46</v>
      </c>
      <c r="B837" s="5" t="s">
        <v>5245</v>
      </c>
      <c r="C837" s="5" t="s">
        <v>5246</v>
      </c>
      <c r="D837" s="5" t="s">
        <v>5247</v>
      </c>
      <c r="E837" s="5" t="s">
        <v>4944</v>
      </c>
      <c r="F837" s="5" t="s">
        <v>265</v>
      </c>
      <c r="G837" s="5" t="s">
        <v>345</v>
      </c>
      <c r="H837" s="5" t="n">
        <v>1</v>
      </c>
      <c r="I837" s="5" t="s">
        <v>3509</v>
      </c>
      <c r="J837" s="5" t="s">
        <v>5248</v>
      </c>
      <c r="K837" s="5" t="s">
        <v>5249</v>
      </c>
    </row>
    <row r="838" customFormat="false" ht="15" hidden="false" customHeight="false" outlineLevel="0" collapsed="false">
      <c r="A838" s="5" t="s">
        <v>69</v>
      </c>
      <c r="B838" s="5" t="s">
        <v>5250</v>
      </c>
      <c r="C838" s="5" t="s">
        <v>5251</v>
      </c>
      <c r="D838" s="5" t="s">
        <v>5252</v>
      </c>
      <c r="E838" s="5" t="s">
        <v>4944</v>
      </c>
      <c r="F838" s="5" t="s">
        <v>265</v>
      </c>
      <c r="G838" s="5" t="s">
        <v>345</v>
      </c>
      <c r="H838" s="5" t="n">
        <v>2</v>
      </c>
      <c r="I838" s="5" t="s">
        <v>1664</v>
      </c>
      <c r="J838" s="5" t="s">
        <v>5253</v>
      </c>
      <c r="K838" s="5" t="s">
        <v>5254</v>
      </c>
    </row>
    <row r="839" customFormat="false" ht="15" hidden="false" customHeight="false" outlineLevel="0" collapsed="false">
      <c r="A839" s="5" t="s">
        <v>80</v>
      </c>
      <c r="B839" s="5" t="s">
        <v>5255</v>
      </c>
      <c r="C839" s="5" t="s">
        <v>5256</v>
      </c>
      <c r="D839" s="5" t="s">
        <v>5257</v>
      </c>
      <c r="E839" s="5" t="s">
        <v>4944</v>
      </c>
      <c r="F839" s="5" t="s">
        <v>265</v>
      </c>
      <c r="G839" s="5" t="s">
        <v>775</v>
      </c>
      <c r="H839" s="5" t="n">
        <v>2</v>
      </c>
      <c r="I839" s="5" t="s">
        <v>1647</v>
      </c>
      <c r="J839" s="5" t="s">
        <v>5258</v>
      </c>
      <c r="K839" s="5" t="s">
        <v>5259</v>
      </c>
    </row>
    <row r="840" customFormat="false" ht="15" hidden="false" customHeight="false" outlineLevel="0" collapsed="false">
      <c r="A840" s="5" t="s">
        <v>66</v>
      </c>
      <c r="B840" s="5" t="s">
        <v>5260</v>
      </c>
      <c r="C840" s="5" t="s">
        <v>5261</v>
      </c>
      <c r="D840" s="5" t="s">
        <v>5262</v>
      </c>
      <c r="E840" s="5" t="s">
        <v>4944</v>
      </c>
      <c r="F840" s="5" t="s">
        <v>265</v>
      </c>
      <c r="G840" s="5" t="s">
        <v>345</v>
      </c>
      <c r="H840" s="5" t="n">
        <v>1</v>
      </c>
      <c r="I840" s="5" t="s">
        <v>1911</v>
      </c>
      <c r="J840" s="5" t="s">
        <v>5263</v>
      </c>
      <c r="K840" s="5" t="s">
        <v>5264</v>
      </c>
    </row>
    <row r="841" customFormat="false" ht="15" hidden="false" customHeight="false" outlineLevel="0" collapsed="false">
      <c r="A841" s="5" t="s">
        <v>54</v>
      </c>
      <c r="B841" s="5" t="s">
        <v>759</v>
      </c>
      <c r="C841" s="5" t="s">
        <v>5265</v>
      </c>
      <c r="D841" s="5" t="s">
        <v>5266</v>
      </c>
      <c r="E841" s="5" t="s">
        <v>4944</v>
      </c>
      <c r="F841" s="5" t="s">
        <v>265</v>
      </c>
      <c r="G841" s="5" t="s">
        <v>760</v>
      </c>
      <c r="H841" s="5" t="n">
        <v>2</v>
      </c>
      <c r="I841" s="5" t="s">
        <v>1629</v>
      </c>
      <c r="J841" s="5" t="s">
        <v>761</v>
      </c>
      <c r="K841" s="5" t="s">
        <v>762</v>
      </c>
    </row>
    <row r="842" customFormat="false" ht="15" hidden="false" customHeight="false" outlineLevel="0" collapsed="false">
      <c r="A842" s="5" t="s">
        <v>86</v>
      </c>
      <c r="B842" s="5" t="s">
        <v>5267</v>
      </c>
      <c r="C842" s="5" t="s">
        <v>5268</v>
      </c>
      <c r="D842" s="5" t="s">
        <v>5269</v>
      </c>
      <c r="E842" s="5" t="s">
        <v>4944</v>
      </c>
      <c r="F842" s="5" t="s">
        <v>265</v>
      </c>
      <c r="G842" s="5" t="s">
        <v>345</v>
      </c>
      <c r="H842" s="5" t="n">
        <v>2</v>
      </c>
      <c r="I842" s="5" t="s">
        <v>1966</v>
      </c>
      <c r="J842" s="5" t="s">
        <v>5270</v>
      </c>
      <c r="K842" s="5" t="s">
        <v>5271</v>
      </c>
    </row>
    <row r="843" customFormat="false" ht="15" hidden="false" customHeight="false" outlineLevel="0" collapsed="false">
      <c r="A843" s="5" t="s">
        <v>83</v>
      </c>
      <c r="B843" s="5" t="s">
        <v>5272</v>
      </c>
      <c r="C843" s="5" t="s">
        <v>5273</v>
      </c>
      <c r="D843" s="5" t="s">
        <v>5274</v>
      </c>
      <c r="E843" s="5" t="s">
        <v>4944</v>
      </c>
      <c r="F843" s="5" t="s">
        <v>265</v>
      </c>
      <c r="G843" s="5" t="s">
        <v>345</v>
      </c>
      <c r="H843" s="5" t="n">
        <v>5</v>
      </c>
      <c r="I843" s="5" t="s">
        <v>2229</v>
      </c>
      <c r="J843" s="5" t="s">
        <v>5275</v>
      </c>
      <c r="K843" s="5" t="s">
        <v>5276</v>
      </c>
    </row>
    <row r="844" customFormat="false" ht="15" hidden="false" customHeight="false" outlineLevel="0" collapsed="false">
      <c r="A844" s="5" t="s">
        <v>66</v>
      </c>
      <c r="B844" s="5" t="s">
        <v>5277</v>
      </c>
      <c r="C844" s="5" t="s">
        <v>5278</v>
      </c>
      <c r="D844" s="5" t="s">
        <v>5279</v>
      </c>
      <c r="E844" s="5" t="s">
        <v>4944</v>
      </c>
      <c r="F844" s="5" t="s">
        <v>104</v>
      </c>
      <c r="G844" s="5" t="s">
        <v>5280</v>
      </c>
      <c r="H844" s="5" t="n">
        <v>2</v>
      </c>
      <c r="I844" s="5" t="s">
        <v>1664</v>
      </c>
      <c r="J844" s="5" t="s">
        <v>5281</v>
      </c>
      <c r="K844" s="5" t="s">
        <v>5282</v>
      </c>
    </row>
    <row r="845" customFormat="false" ht="15" hidden="false" customHeight="false" outlineLevel="0" collapsed="false">
      <c r="A845" s="5" t="s">
        <v>66</v>
      </c>
      <c r="B845" s="5" t="s">
        <v>5283</v>
      </c>
      <c r="C845" s="5" t="s">
        <v>5284</v>
      </c>
      <c r="D845" s="5" t="s">
        <v>5285</v>
      </c>
      <c r="E845" s="5" t="s">
        <v>4944</v>
      </c>
      <c r="F845" s="5" t="s">
        <v>265</v>
      </c>
      <c r="G845" s="5" t="s">
        <v>345</v>
      </c>
      <c r="H845" s="5" t="n">
        <v>3</v>
      </c>
      <c r="I845" s="5" t="s">
        <v>1709</v>
      </c>
      <c r="J845" s="5" t="s">
        <v>5286</v>
      </c>
      <c r="K845" s="5" t="s">
        <v>5287</v>
      </c>
    </row>
    <row r="846" customFormat="false" ht="15" hidden="false" customHeight="false" outlineLevel="0" collapsed="false">
      <c r="A846" s="5" t="s">
        <v>72</v>
      </c>
      <c r="B846" s="5" t="s">
        <v>5288</v>
      </c>
      <c r="C846" s="5" t="s">
        <v>5289</v>
      </c>
      <c r="D846" s="5"/>
      <c r="E846" s="5" t="s">
        <v>4944</v>
      </c>
      <c r="F846" s="5" t="s">
        <v>265</v>
      </c>
      <c r="G846" s="5" t="s">
        <v>345</v>
      </c>
      <c r="H846" s="5" t="n">
        <v>47</v>
      </c>
      <c r="I846" s="5" t="s">
        <v>1709</v>
      </c>
      <c r="J846" s="5" t="s">
        <v>5290</v>
      </c>
      <c r="K846" s="5" t="s">
        <v>5291</v>
      </c>
    </row>
    <row r="847" customFormat="false" ht="15" hidden="false" customHeight="false" outlineLevel="0" collapsed="false">
      <c r="A847" s="5" t="s">
        <v>92</v>
      </c>
      <c r="B847" s="5" t="s">
        <v>5292</v>
      </c>
      <c r="C847" s="5" t="s">
        <v>5293</v>
      </c>
      <c r="D847" s="5" t="s">
        <v>5294</v>
      </c>
      <c r="E847" s="5" t="s">
        <v>4944</v>
      </c>
      <c r="F847" s="5" t="s">
        <v>265</v>
      </c>
      <c r="G847" s="5" t="s">
        <v>345</v>
      </c>
      <c r="H847" s="5" t="n">
        <v>3</v>
      </c>
      <c r="I847" s="5" t="s">
        <v>1709</v>
      </c>
      <c r="J847" s="5" t="s">
        <v>5295</v>
      </c>
      <c r="K847" s="5" t="s">
        <v>5296</v>
      </c>
    </row>
    <row r="848" customFormat="false" ht="15" hidden="false" customHeight="false" outlineLevel="0" collapsed="false">
      <c r="A848" s="5" t="s">
        <v>63</v>
      </c>
      <c r="B848" s="5" t="s">
        <v>5297</v>
      </c>
      <c r="C848" s="5" t="s">
        <v>5298</v>
      </c>
      <c r="D848" s="5" t="s">
        <v>5299</v>
      </c>
      <c r="E848" s="5" t="s">
        <v>4944</v>
      </c>
      <c r="F848" s="5" t="s">
        <v>265</v>
      </c>
      <c r="G848" s="5" t="s">
        <v>345</v>
      </c>
      <c r="H848" s="5" t="n">
        <v>2</v>
      </c>
      <c r="I848" s="5" t="s">
        <v>1882</v>
      </c>
      <c r="J848" s="5" t="s">
        <v>5300</v>
      </c>
      <c r="K848" s="5" t="s">
        <v>5301</v>
      </c>
    </row>
    <row r="849" customFormat="false" ht="15" hidden="false" customHeight="false" outlineLevel="0" collapsed="false">
      <c r="A849" s="5" t="s">
        <v>83</v>
      </c>
      <c r="B849" s="5" t="s">
        <v>5302</v>
      </c>
      <c r="C849" s="5" t="s">
        <v>5303</v>
      </c>
      <c r="D849" s="5" t="s">
        <v>5304</v>
      </c>
      <c r="E849" s="5" t="s">
        <v>4944</v>
      </c>
      <c r="F849" s="5" t="s">
        <v>265</v>
      </c>
      <c r="G849" s="5" t="s">
        <v>345</v>
      </c>
      <c r="H849" s="5"/>
      <c r="I849" s="5" t="s">
        <v>1876</v>
      </c>
      <c r="J849" s="5" t="s">
        <v>5305</v>
      </c>
      <c r="K849" s="5" t="s">
        <v>5306</v>
      </c>
    </row>
    <row r="850" customFormat="false" ht="15" hidden="false" customHeight="false" outlineLevel="0" collapsed="false">
      <c r="A850" s="5" t="s">
        <v>63</v>
      </c>
      <c r="B850" s="5" t="s">
        <v>904</v>
      </c>
      <c r="C850" s="5" t="s">
        <v>5307</v>
      </c>
      <c r="D850" s="5" t="s">
        <v>5308</v>
      </c>
      <c r="E850" s="5" t="s">
        <v>4944</v>
      </c>
      <c r="F850" s="5" t="s">
        <v>265</v>
      </c>
      <c r="G850" s="5" t="s">
        <v>345</v>
      </c>
      <c r="H850" s="5" t="n">
        <v>2</v>
      </c>
      <c r="I850" s="5" t="s">
        <v>1656</v>
      </c>
      <c r="J850" s="5" t="s">
        <v>905</v>
      </c>
      <c r="K850" s="5" t="s">
        <v>906</v>
      </c>
    </row>
    <row r="851" customFormat="false" ht="15" hidden="false" customHeight="false" outlineLevel="0" collapsed="false">
      <c r="A851" s="5" t="s">
        <v>80</v>
      </c>
      <c r="B851" s="5" t="s">
        <v>5309</v>
      </c>
      <c r="C851" s="5" t="s">
        <v>5310</v>
      </c>
      <c r="D851" s="5"/>
      <c r="E851" s="5" t="s">
        <v>4944</v>
      </c>
      <c r="F851" s="5" t="s">
        <v>265</v>
      </c>
      <c r="G851" s="5" t="s">
        <v>345</v>
      </c>
      <c r="H851" s="5" t="n">
        <v>3</v>
      </c>
      <c r="I851" s="5" t="s">
        <v>1709</v>
      </c>
      <c r="J851" s="5"/>
      <c r="K851" s="5" t="s">
        <v>5311</v>
      </c>
    </row>
    <row r="852" customFormat="false" ht="15" hidden="false" customHeight="false" outlineLevel="0" collapsed="false">
      <c r="A852" s="5" t="s">
        <v>92</v>
      </c>
      <c r="B852" s="5" t="s">
        <v>5312</v>
      </c>
      <c r="C852" s="5" t="s">
        <v>5313</v>
      </c>
      <c r="D852" s="5" t="s">
        <v>5314</v>
      </c>
      <c r="E852" s="5" t="s">
        <v>4944</v>
      </c>
      <c r="F852" s="5" t="s">
        <v>265</v>
      </c>
      <c r="G852" s="5" t="s">
        <v>345</v>
      </c>
      <c r="H852" s="5" t="n">
        <v>3</v>
      </c>
      <c r="I852" s="5" t="s">
        <v>1647</v>
      </c>
      <c r="J852" s="5" t="s">
        <v>5315</v>
      </c>
      <c r="K852" s="5" t="s">
        <v>5316</v>
      </c>
    </row>
    <row r="853" customFormat="false" ht="15" hidden="false" customHeight="false" outlineLevel="0" collapsed="false">
      <c r="A853" s="5" t="s">
        <v>95</v>
      </c>
      <c r="B853" s="5" t="s">
        <v>5317</v>
      </c>
      <c r="C853" s="5" t="s">
        <v>5318</v>
      </c>
      <c r="D853" s="5" t="s">
        <v>5319</v>
      </c>
      <c r="E853" s="5" t="s">
        <v>4944</v>
      </c>
      <c r="F853" s="5" t="s">
        <v>265</v>
      </c>
      <c r="G853" s="5" t="s">
        <v>345</v>
      </c>
      <c r="H853" s="5" t="n">
        <v>1</v>
      </c>
      <c r="I853" s="5" t="s">
        <v>1635</v>
      </c>
      <c r="J853" s="5" t="s">
        <v>5320</v>
      </c>
      <c r="K853" s="5" t="s">
        <v>5321</v>
      </c>
    </row>
    <row r="854" customFormat="false" ht="15" hidden="false" customHeight="false" outlineLevel="0" collapsed="false">
      <c r="A854" s="5" t="s">
        <v>54</v>
      </c>
      <c r="B854" s="5" t="s">
        <v>5322</v>
      </c>
      <c r="C854" s="5" t="s">
        <v>5323</v>
      </c>
      <c r="D854" s="5" t="s">
        <v>5324</v>
      </c>
      <c r="E854" s="5" t="s">
        <v>4944</v>
      </c>
      <c r="F854" s="5" t="s">
        <v>265</v>
      </c>
      <c r="G854" s="5" t="s">
        <v>345</v>
      </c>
      <c r="H854" s="5" t="n">
        <v>4</v>
      </c>
      <c r="I854" s="5" t="s">
        <v>1709</v>
      </c>
      <c r="J854" s="5" t="s">
        <v>5325</v>
      </c>
      <c r="K854" s="5" t="s">
        <v>5326</v>
      </c>
    </row>
    <row r="855" customFormat="false" ht="15" hidden="false" customHeight="false" outlineLevel="0" collapsed="false">
      <c r="A855" s="5" t="s">
        <v>83</v>
      </c>
      <c r="B855" s="5" t="s">
        <v>5327</v>
      </c>
      <c r="C855" s="5" t="s">
        <v>5328</v>
      </c>
      <c r="D855" s="5"/>
      <c r="E855" s="5" t="s">
        <v>4944</v>
      </c>
      <c r="F855" s="5" t="s">
        <v>104</v>
      </c>
      <c r="G855" s="5" t="s">
        <v>5329</v>
      </c>
      <c r="H855" s="5" t="n">
        <v>4</v>
      </c>
      <c r="I855" s="5" t="s">
        <v>2229</v>
      </c>
      <c r="J855" s="5"/>
      <c r="K855" s="5" t="s">
        <v>5330</v>
      </c>
    </row>
    <row r="856" customFormat="false" ht="15" hidden="false" customHeight="false" outlineLevel="0" collapsed="false">
      <c r="A856" s="5" t="s">
        <v>60</v>
      </c>
      <c r="B856" s="5" t="s">
        <v>857</v>
      </c>
      <c r="C856" s="5" t="s">
        <v>5331</v>
      </c>
      <c r="D856" s="5" t="s">
        <v>5332</v>
      </c>
      <c r="E856" s="5" t="s">
        <v>4944</v>
      </c>
      <c r="F856" s="5" t="s">
        <v>265</v>
      </c>
      <c r="G856" s="5" t="s">
        <v>345</v>
      </c>
      <c r="H856" s="5" t="n">
        <v>2</v>
      </c>
      <c r="I856" s="5" t="s">
        <v>1919</v>
      </c>
      <c r="J856" s="5" t="s">
        <v>858</v>
      </c>
      <c r="K856" s="5" t="s">
        <v>859</v>
      </c>
    </row>
    <row r="857" customFormat="false" ht="15" hidden="false" customHeight="false" outlineLevel="0" collapsed="false">
      <c r="A857" s="5" t="s">
        <v>40</v>
      </c>
      <c r="B857" s="5" t="s">
        <v>5333</v>
      </c>
      <c r="C857" s="5" t="s">
        <v>5334</v>
      </c>
      <c r="D857" s="5" t="s">
        <v>5335</v>
      </c>
      <c r="E857" s="5" t="s">
        <v>4944</v>
      </c>
      <c r="F857" s="5" t="s">
        <v>265</v>
      </c>
      <c r="G857" s="5" t="s">
        <v>4845</v>
      </c>
      <c r="H857" s="5"/>
      <c r="I857" s="5" t="s">
        <v>1652</v>
      </c>
      <c r="J857" s="5" t="s">
        <v>5336</v>
      </c>
      <c r="K857" s="5" t="s">
        <v>5337</v>
      </c>
    </row>
    <row r="858" customFormat="false" ht="15" hidden="false" customHeight="false" outlineLevel="0" collapsed="false">
      <c r="A858" s="5" t="s">
        <v>86</v>
      </c>
      <c r="B858" s="5" t="s">
        <v>5338</v>
      </c>
      <c r="C858" s="5" t="s">
        <v>5339</v>
      </c>
      <c r="D858" s="5" t="s">
        <v>5340</v>
      </c>
      <c r="E858" s="5" t="s">
        <v>4944</v>
      </c>
      <c r="F858" s="5" t="s">
        <v>265</v>
      </c>
      <c r="G858" s="5" t="s">
        <v>345</v>
      </c>
      <c r="H858" s="5"/>
      <c r="I858" s="5" t="s">
        <v>1664</v>
      </c>
      <c r="J858" s="5" t="s">
        <v>5341</v>
      </c>
      <c r="K858" s="5" t="s">
        <v>5342</v>
      </c>
    </row>
    <row r="859" customFormat="false" ht="15" hidden="false" customHeight="false" outlineLevel="0" collapsed="false">
      <c r="A859" s="5" t="s">
        <v>95</v>
      </c>
      <c r="B859" s="5" t="s">
        <v>1510</v>
      </c>
      <c r="C859" s="5" t="s">
        <v>5343</v>
      </c>
      <c r="D859" s="5" t="s">
        <v>5344</v>
      </c>
      <c r="E859" s="5" t="s">
        <v>4944</v>
      </c>
      <c r="F859" s="5" t="s">
        <v>265</v>
      </c>
      <c r="G859" s="5" t="s">
        <v>345</v>
      </c>
      <c r="H859" s="5" t="n">
        <v>2</v>
      </c>
      <c r="I859" s="5" t="s">
        <v>1927</v>
      </c>
      <c r="J859" s="5" t="s">
        <v>1511</v>
      </c>
      <c r="K859" s="5" t="s">
        <v>1512</v>
      </c>
    </row>
    <row r="860" customFormat="false" ht="15" hidden="false" customHeight="false" outlineLevel="0" collapsed="false">
      <c r="A860" s="5" t="s">
        <v>75</v>
      </c>
      <c r="B860" s="5" t="s">
        <v>5345</v>
      </c>
      <c r="C860" s="5" t="s">
        <v>5346</v>
      </c>
      <c r="D860" s="5" t="s">
        <v>5347</v>
      </c>
      <c r="E860" s="5" t="s">
        <v>4944</v>
      </c>
      <c r="F860" s="5" t="s">
        <v>265</v>
      </c>
      <c r="G860" s="5" t="s">
        <v>345</v>
      </c>
      <c r="H860" s="5" t="n">
        <v>2</v>
      </c>
      <c r="I860" s="5" t="s">
        <v>1656</v>
      </c>
      <c r="J860" s="5" t="s">
        <v>5348</v>
      </c>
      <c r="K860" s="5" t="s">
        <v>5349</v>
      </c>
    </row>
    <row r="861" customFormat="false" ht="15" hidden="false" customHeight="false" outlineLevel="0" collapsed="false">
      <c r="A861" s="5" t="s">
        <v>98</v>
      </c>
      <c r="B861" s="5" t="s">
        <v>5350</v>
      </c>
      <c r="C861" s="5" t="s">
        <v>5351</v>
      </c>
      <c r="D861" s="5" t="s">
        <v>5352</v>
      </c>
      <c r="E861" s="5" t="s">
        <v>4944</v>
      </c>
      <c r="F861" s="5" t="s">
        <v>265</v>
      </c>
      <c r="G861" s="5" t="s">
        <v>345</v>
      </c>
      <c r="H861" s="5" t="n">
        <v>2</v>
      </c>
      <c r="I861" s="5" t="s">
        <v>1747</v>
      </c>
      <c r="J861" s="5" t="s">
        <v>5353</v>
      </c>
      <c r="K861" s="5" t="s">
        <v>5354</v>
      </c>
    </row>
    <row r="862" customFormat="false" ht="15" hidden="false" customHeight="false" outlineLevel="0" collapsed="false">
      <c r="A862" s="5" t="s">
        <v>80</v>
      </c>
      <c r="B862" s="5" t="s">
        <v>5355</v>
      </c>
      <c r="C862" s="5" t="s">
        <v>5356</v>
      </c>
      <c r="D862" s="5" t="s">
        <v>5357</v>
      </c>
      <c r="E862" s="5" t="s">
        <v>4944</v>
      </c>
      <c r="F862" s="5" t="s">
        <v>265</v>
      </c>
      <c r="G862" s="5" t="s">
        <v>345</v>
      </c>
      <c r="H862" s="5" t="n">
        <v>2</v>
      </c>
      <c r="I862" s="5" t="s">
        <v>1647</v>
      </c>
      <c r="J862" s="5" t="s">
        <v>5358</v>
      </c>
      <c r="K862" s="5" t="s">
        <v>5359</v>
      </c>
    </row>
    <row r="863" customFormat="false" ht="15" hidden="false" customHeight="false" outlineLevel="0" collapsed="false">
      <c r="A863" s="5" t="s">
        <v>98</v>
      </c>
      <c r="B863" s="5" t="s">
        <v>1566</v>
      </c>
      <c r="C863" s="5" t="s">
        <v>5360</v>
      </c>
      <c r="D863" s="5" t="s">
        <v>5361</v>
      </c>
      <c r="E863" s="5" t="s">
        <v>4944</v>
      </c>
      <c r="F863" s="5" t="s">
        <v>104</v>
      </c>
      <c r="G863" s="5"/>
      <c r="H863" s="5" t="n">
        <v>3</v>
      </c>
      <c r="I863" s="5" t="s">
        <v>1635</v>
      </c>
      <c r="J863" s="5" t="s">
        <v>1567</v>
      </c>
      <c r="K863" s="5" t="s">
        <v>1568</v>
      </c>
    </row>
    <row r="864" customFormat="false" ht="15" hidden="false" customHeight="false" outlineLevel="0" collapsed="false">
      <c r="A864" s="5" t="s">
        <v>66</v>
      </c>
      <c r="B864" s="5" t="s">
        <v>5362</v>
      </c>
      <c r="C864" s="5" t="s">
        <v>5363</v>
      </c>
      <c r="D864" s="5"/>
      <c r="E864" s="5" t="s">
        <v>4944</v>
      </c>
      <c r="F864" s="5" t="s">
        <v>265</v>
      </c>
      <c r="G864" s="5" t="s">
        <v>345</v>
      </c>
      <c r="H864" s="5" t="n">
        <v>2</v>
      </c>
      <c r="I864" s="5" t="s">
        <v>1664</v>
      </c>
      <c r="J864" s="5" t="s">
        <v>5364</v>
      </c>
      <c r="K864" s="5" t="s">
        <v>5365</v>
      </c>
    </row>
    <row r="865" customFormat="false" ht="15" hidden="false" customHeight="false" outlineLevel="0" collapsed="false">
      <c r="A865" s="5" t="s">
        <v>47</v>
      </c>
      <c r="B865" s="5" t="s">
        <v>617</v>
      </c>
      <c r="C865" s="5" t="s">
        <v>5366</v>
      </c>
      <c r="D865" s="5" t="s">
        <v>5367</v>
      </c>
      <c r="E865" s="5" t="s">
        <v>4944</v>
      </c>
      <c r="F865" s="5" t="s">
        <v>265</v>
      </c>
      <c r="G865" s="5" t="s">
        <v>345</v>
      </c>
      <c r="H865" s="5" t="n">
        <v>2</v>
      </c>
      <c r="I865" s="5" t="s">
        <v>1927</v>
      </c>
      <c r="J865" s="5" t="s">
        <v>618</v>
      </c>
      <c r="K865" s="5" t="s">
        <v>619</v>
      </c>
    </row>
    <row r="866" customFormat="false" ht="15" hidden="false" customHeight="false" outlineLevel="0" collapsed="false">
      <c r="A866" s="5" t="s">
        <v>98</v>
      </c>
      <c r="B866" s="5" t="s">
        <v>1570</v>
      </c>
      <c r="C866" s="5" t="s">
        <v>5368</v>
      </c>
      <c r="D866" s="5" t="s">
        <v>5369</v>
      </c>
      <c r="E866" s="5" t="s">
        <v>4944</v>
      </c>
      <c r="F866" s="5" t="s">
        <v>265</v>
      </c>
      <c r="G866" s="5" t="s">
        <v>345</v>
      </c>
      <c r="H866" s="5" t="n">
        <v>2</v>
      </c>
      <c r="I866" s="5" t="s">
        <v>1747</v>
      </c>
      <c r="J866" s="5" t="s">
        <v>1571</v>
      </c>
      <c r="K866" s="5" t="s">
        <v>1572</v>
      </c>
    </row>
    <row r="867" customFormat="false" ht="15" hidden="false" customHeight="false" outlineLevel="0" collapsed="false">
      <c r="A867" s="5" t="s">
        <v>80</v>
      </c>
      <c r="B867" s="5" t="s">
        <v>5370</v>
      </c>
      <c r="C867" s="5" t="s">
        <v>5371</v>
      </c>
      <c r="D867" s="5" t="s">
        <v>5372</v>
      </c>
      <c r="E867" s="5" t="s">
        <v>4944</v>
      </c>
      <c r="F867" s="5" t="s">
        <v>265</v>
      </c>
      <c r="G867" s="5" t="s">
        <v>345</v>
      </c>
      <c r="H867" s="5" t="n">
        <v>4</v>
      </c>
      <c r="I867" s="5" t="s">
        <v>1647</v>
      </c>
      <c r="J867" s="5" t="s">
        <v>5373</v>
      </c>
      <c r="K867" s="5" t="s">
        <v>5374</v>
      </c>
    </row>
    <row r="868" customFormat="false" ht="15" hidden="false" customHeight="false" outlineLevel="0" collapsed="false">
      <c r="A868" s="5" t="s">
        <v>43</v>
      </c>
      <c r="B868" s="5" t="s">
        <v>475</v>
      </c>
      <c r="C868" s="5" t="s">
        <v>5375</v>
      </c>
      <c r="D868" s="5" t="s">
        <v>5376</v>
      </c>
      <c r="E868" s="5" t="s">
        <v>4944</v>
      </c>
      <c r="F868" s="5" t="s">
        <v>265</v>
      </c>
      <c r="G868" s="5" t="s">
        <v>476</v>
      </c>
      <c r="H868" s="5" t="n">
        <v>4</v>
      </c>
      <c r="I868" s="5" t="s">
        <v>5377</v>
      </c>
      <c r="J868" s="5" t="s">
        <v>477</v>
      </c>
      <c r="K868" s="5" t="s">
        <v>478</v>
      </c>
    </row>
    <row r="869" customFormat="false" ht="15" hidden="false" customHeight="false" outlineLevel="0" collapsed="false">
      <c r="A869" s="5" t="s">
        <v>69</v>
      </c>
      <c r="B869" s="5" t="s">
        <v>5378</v>
      </c>
      <c r="C869" s="5" t="s">
        <v>5379</v>
      </c>
      <c r="D869" s="5"/>
      <c r="E869" s="5" t="s">
        <v>4944</v>
      </c>
      <c r="F869" s="5" t="s">
        <v>265</v>
      </c>
      <c r="G869" s="5" t="s">
        <v>345</v>
      </c>
      <c r="H869" s="5" t="n">
        <v>2</v>
      </c>
      <c r="I869" s="5" t="s">
        <v>1709</v>
      </c>
      <c r="J869" s="5"/>
      <c r="K869" s="5" t="s">
        <v>5380</v>
      </c>
    </row>
    <row r="870" customFormat="false" ht="15" hidden="false" customHeight="false" outlineLevel="0" collapsed="false">
      <c r="A870" s="5" t="s">
        <v>80</v>
      </c>
      <c r="B870" s="5" t="s">
        <v>5381</v>
      </c>
      <c r="C870" s="5" t="s">
        <v>5382</v>
      </c>
      <c r="D870" s="5" t="s">
        <v>5383</v>
      </c>
      <c r="E870" s="5" t="s">
        <v>4944</v>
      </c>
      <c r="F870" s="5" t="s">
        <v>265</v>
      </c>
      <c r="G870" s="5" t="s">
        <v>345</v>
      </c>
      <c r="H870" s="5" t="n">
        <v>1</v>
      </c>
      <c r="I870" s="5" t="s">
        <v>1647</v>
      </c>
      <c r="J870" s="5" t="s">
        <v>5384</v>
      </c>
      <c r="K870" s="5" t="s">
        <v>5385</v>
      </c>
    </row>
    <row r="871" customFormat="false" ht="15" hidden="false" customHeight="false" outlineLevel="0" collapsed="false">
      <c r="A871" s="5" t="s">
        <v>86</v>
      </c>
      <c r="B871" s="5" t="s">
        <v>5386</v>
      </c>
      <c r="C871" s="5" t="s">
        <v>5387</v>
      </c>
      <c r="D871" s="5" t="s">
        <v>5388</v>
      </c>
      <c r="E871" s="5" t="s">
        <v>4944</v>
      </c>
      <c r="F871" s="5" t="s">
        <v>104</v>
      </c>
      <c r="G871" s="5" t="s">
        <v>5389</v>
      </c>
      <c r="H871" s="5" t="n">
        <v>4</v>
      </c>
      <c r="I871" s="5" t="s">
        <v>1664</v>
      </c>
      <c r="J871" s="5" t="s">
        <v>5390</v>
      </c>
      <c r="K871" s="5" t="s">
        <v>5391</v>
      </c>
    </row>
    <row r="872" customFormat="false" ht="15" hidden="false" customHeight="false" outlineLevel="0" collapsed="false">
      <c r="A872" s="5" t="s">
        <v>66</v>
      </c>
      <c r="B872" s="5" t="s">
        <v>5392</v>
      </c>
      <c r="C872" s="5" t="s">
        <v>5393</v>
      </c>
      <c r="D872" s="5" t="s">
        <v>5394</v>
      </c>
      <c r="E872" s="5" t="s">
        <v>4944</v>
      </c>
      <c r="F872" s="5" t="s">
        <v>265</v>
      </c>
      <c r="G872" s="5" t="s">
        <v>345</v>
      </c>
      <c r="H872" s="5" t="n">
        <v>2</v>
      </c>
      <c r="I872" s="5" t="s">
        <v>1664</v>
      </c>
      <c r="J872" s="5" t="s">
        <v>5395</v>
      </c>
      <c r="K872" s="5" t="s">
        <v>5396</v>
      </c>
    </row>
    <row r="873" customFormat="false" ht="15" hidden="false" customHeight="false" outlineLevel="0" collapsed="false">
      <c r="A873" s="5" t="s">
        <v>63</v>
      </c>
      <c r="B873" s="5" t="s">
        <v>5397</v>
      </c>
      <c r="C873" s="5" t="s">
        <v>5398</v>
      </c>
      <c r="D873" s="5" t="s">
        <v>5399</v>
      </c>
      <c r="E873" s="5" t="s">
        <v>4944</v>
      </c>
      <c r="F873" s="5" t="s">
        <v>104</v>
      </c>
      <c r="G873" s="5" t="s">
        <v>450</v>
      </c>
      <c r="H873" s="5" t="n">
        <v>1</v>
      </c>
      <c r="I873" s="5" t="s">
        <v>1656</v>
      </c>
      <c r="J873" s="5" t="s">
        <v>5400</v>
      </c>
      <c r="K873" s="5" t="s">
        <v>5401</v>
      </c>
    </row>
    <row r="874" customFormat="false" ht="15" hidden="false" customHeight="false" outlineLevel="0" collapsed="false">
      <c r="A874" s="5" t="s">
        <v>86</v>
      </c>
      <c r="B874" s="5" t="s">
        <v>5402</v>
      </c>
      <c r="C874" s="5" t="s">
        <v>5403</v>
      </c>
      <c r="D874" s="5" t="s">
        <v>5404</v>
      </c>
      <c r="E874" s="5" t="s">
        <v>4944</v>
      </c>
      <c r="F874" s="5" t="s">
        <v>265</v>
      </c>
      <c r="G874" s="5" t="s">
        <v>5405</v>
      </c>
      <c r="H874" s="5" t="n">
        <v>2</v>
      </c>
      <c r="I874" s="5" t="s">
        <v>1647</v>
      </c>
      <c r="J874" s="5" t="s">
        <v>5406</v>
      </c>
      <c r="K874" s="5" t="s">
        <v>5407</v>
      </c>
    </row>
    <row r="875" customFormat="false" ht="15" hidden="false" customHeight="false" outlineLevel="0" collapsed="false">
      <c r="A875" s="5" t="s">
        <v>46</v>
      </c>
      <c r="B875" s="5" t="s">
        <v>5408</v>
      </c>
      <c r="C875" s="5" t="s">
        <v>5409</v>
      </c>
      <c r="D875" s="5" t="s">
        <v>5410</v>
      </c>
      <c r="E875" s="5" t="s">
        <v>4944</v>
      </c>
      <c r="F875" s="5" t="s">
        <v>104</v>
      </c>
      <c r="G875" s="5" t="s">
        <v>5411</v>
      </c>
      <c r="H875" s="5" t="n">
        <v>2</v>
      </c>
      <c r="I875" s="5" t="s">
        <v>1640</v>
      </c>
      <c r="J875" s="5" t="s">
        <v>5412</v>
      </c>
      <c r="K875" s="5" t="s">
        <v>5413</v>
      </c>
    </row>
    <row r="876" customFormat="false" ht="15" hidden="false" customHeight="false" outlineLevel="0" collapsed="false">
      <c r="A876" s="5" t="s">
        <v>51</v>
      </c>
      <c r="B876" s="5" t="s">
        <v>5414</v>
      </c>
      <c r="C876" s="5" t="s">
        <v>5415</v>
      </c>
      <c r="D876" s="5" t="s">
        <v>5416</v>
      </c>
      <c r="E876" s="5" t="s">
        <v>4944</v>
      </c>
      <c r="F876" s="5" t="s">
        <v>265</v>
      </c>
      <c r="G876" s="5" t="s">
        <v>345</v>
      </c>
      <c r="H876" s="5" t="n">
        <v>5</v>
      </c>
      <c r="I876" s="5" t="s">
        <v>1971</v>
      </c>
      <c r="J876" s="5" t="s">
        <v>5417</v>
      </c>
      <c r="K876" s="5" t="s">
        <v>5418</v>
      </c>
    </row>
    <row r="877" customFormat="false" ht="15" hidden="false" customHeight="false" outlineLevel="0" collapsed="false">
      <c r="A877" s="5" t="s">
        <v>40</v>
      </c>
      <c r="B877" s="5" t="s">
        <v>398</v>
      </c>
      <c r="C877" s="5" t="s">
        <v>5419</v>
      </c>
      <c r="D877" s="5" t="s">
        <v>5420</v>
      </c>
      <c r="E877" s="5" t="s">
        <v>4944</v>
      </c>
      <c r="F877" s="5" t="s">
        <v>265</v>
      </c>
      <c r="G877" s="5" t="s">
        <v>345</v>
      </c>
      <c r="H877" s="5"/>
      <c r="I877" s="5" t="s">
        <v>2162</v>
      </c>
      <c r="J877" s="5" t="s">
        <v>399</v>
      </c>
      <c r="K877" s="5" t="s">
        <v>400</v>
      </c>
    </row>
    <row r="878" customFormat="false" ht="15" hidden="false" customHeight="false" outlineLevel="0" collapsed="false">
      <c r="A878" s="5" t="s">
        <v>66</v>
      </c>
      <c r="B878" s="5" t="s">
        <v>5421</v>
      </c>
      <c r="C878" s="5" t="s">
        <v>5422</v>
      </c>
      <c r="D878" s="5" t="s">
        <v>5423</v>
      </c>
      <c r="E878" s="5" t="s">
        <v>4944</v>
      </c>
      <c r="F878" s="5" t="s">
        <v>265</v>
      </c>
      <c r="G878" s="5" t="s">
        <v>345</v>
      </c>
      <c r="H878" s="5" t="n">
        <v>3</v>
      </c>
      <c r="I878" s="5" t="s">
        <v>1656</v>
      </c>
      <c r="J878" s="5" t="s">
        <v>5424</v>
      </c>
      <c r="K878" s="5" t="s">
        <v>5425</v>
      </c>
    </row>
    <row r="879" customFormat="false" ht="15" hidden="false" customHeight="false" outlineLevel="0" collapsed="false">
      <c r="A879" s="5" t="s">
        <v>83</v>
      </c>
      <c r="B879" s="5" t="s">
        <v>1283</v>
      </c>
      <c r="C879" s="5" t="s">
        <v>5426</v>
      </c>
      <c r="D879" s="5" t="s">
        <v>5427</v>
      </c>
      <c r="E879" s="5" t="s">
        <v>4944</v>
      </c>
      <c r="F879" s="5" t="s">
        <v>265</v>
      </c>
      <c r="G879" s="5" t="s">
        <v>345</v>
      </c>
      <c r="H879" s="5" t="n">
        <v>2</v>
      </c>
      <c r="I879" s="5" t="s">
        <v>1876</v>
      </c>
      <c r="J879" s="5" t="s">
        <v>1284</v>
      </c>
      <c r="K879" s="5" t="s">
        <v>1285</v>
      </c>
    </row>
    <row r="880" customFormat="false" ht="15" hidden="false" customHeight="false" outlineLevel="0" collapsed="false">
      <c r="A880" s="5" t="s">
        <v>47</v>
      </c>
      <c r="B880" s="5" t="s">
        <v>5428</v>
      </c>
      <c r="C880" s="5" t="s">
        <v>5429</v>
      </c>
      <c r="D880" s="5" t="s">
        <v>5430</v>
      </c>
      <c r="E880" s="5" t="s">
        <v>4944</v>
      </c>
      <c r="F880" s="5" t="s">
        <v>265</v>
      </c>
      <c r="G880" s="5" t="s">
        <v>345</v>
      </c>
      <c r="H880" s="5" t="n">
        <v>2</v>
      </c>
      <c r="I880" s="5" t="s">
        <v>1670</v>
      </c>
      <c r="J880" s="5" t="s">
        <v>5431</v>
      </c>
      <c r="K880" s="5" t="s">
        <v>5432</v>
      </c>
    </row>
    <row r="881" customFormat="false" ht="15" hidden="false" customHeight="false" outlineLevel="0" collapsed="false">
      <c r="A881" s="5" t="s">
        <v>86</v>
      </c>
      <c r="B881" s="5" t="s">
        <v>5433</v>
      </c>
      <c r="C881" s="5" t="s">
        <v>5434</v>
      </c>
      <c r="D881" s="5" t="s">
        <v>5435</v>
      </c>
      <c r="E881" s="5" t="s">
        <v>4944</v>
      </c>
      <c r="F881" s="5" t="s">
        <v>265</v>
      </c>
      <c r="G881" s="5" t="s">
        <v>5436</v>
      </c>
      <c r="H881" s="5" t="n">
        <v>3</v>
      </c>
      <c r="I881" s="5" t="s">
        <v>2248</v>
      </c>
      <c r="J881" s="5" t="s">
        <v>5437</v>
      </c>
      <c r="K881" s="5" t="s">
        <v>5438</v>
      </c>
    </row>
    <row r="882" customFormat="false" ht="15" hidden="false" customHeight="false" outlineLevel="0" collapsed="false">
      <c r="A882" s="5" t="s">
        <v>63</v>
      </c>
      <c r="B882" s="5" t="s">
        <v>5439</v>
      </c>
      <c r="C882" s="5" t="s">
        <v>5440</v>
      </c>
      <c r="D882" s="5" t="s">
        <v>5441</v>
      </c>
      <c r="E882" s="5" t="s">
        <v>4944</v>
      </c>
      <c r="F882" s="5" t="s">
        <v>265</v>
      </c>
      <c r="G882" s="5" t="s">
        <v>436</v>
      </c>
      <c r="H882" s="5" t="n">
        <v>2</v>
      </c>
      <c r="I882" s="5" t="s">
        <v>1656</v>
      </c>
      <c r="J882" s="5" t="s">
        <v>5442</v>
      </c>
      <c r="K882" s="5" t="s">
        <v>5443</v>
      </c>
    </row>
    <row r="883" customFormat="false" ht="15" hidden="false" customHeight="false" outlineLevel="0" collapsed="false">
      <c r="A883" s="5" t="s">
        <v>72</v>
      </c>
      <c r="B883" s="5" t="s">
        <v>1097</v>
      </c>
      <c r="C883" s="5" t="s">
        <v>5444</v>
      </c>
      <c r="D883" s="5" t="s">
        <v>5445</v>
      </c>
      <c r="E883" s="5" t="s">
        <v>4944</v>
      </c>
      <c r="F883" s="5" t="s">
        <v>265</v>
      </c>
      <c r="G883" s="5" t="s">
        <v>345</v>
      </c>
      <c r="H883" s="5" t="n">
        <v>2</v>
      </c>
      <c r="I883" s="5" t="s">
        <v>1709</v>
      </c>
      <c r="J883" s="5" t="s">
        <v>1098</v>
      </c>
      <c r="K883" s="5" t="s">
        <v>1099</v>
      </c>
    </row>
    <row r="884" customFormat="false" ht="15" hidden="false" customHeight="false" outlineLevel="0" collapsed="false">
      <c r="A884" s="5" t="s">
        <v>51</v>
      </c>
      <c r="B884" s="5" t="s">
        <v>5446</v>
      </c>
      <c r="C884" s="5" t="s">
        <v>5447</v>
      </c>
      <c r="D884" s="5" t="s">
        <v>5448</v>
      </c>
      <c r="E884" s="5" t="s">
        <v>4944</v>
      </c>
      <c r="F884" s="5" t="s">
        <v>265</v>
      </c>
      <c r="G884" s="5" t="s">
        <v>345</v>
      </c>
      <c r="H884" s="5" t="n">
        <v>1</v>
      </c>
      <c r="I884" s="5" t="s">
        <v>1709</v>
      </c>
      <c r="J884" s="5" t="s">
        <v>5449</v>
      </c>
      <c r="K884" s="5" t="s">
        <v>5450</v>
      </c>
    </row>
    <row r="885" customFormat="false" ht="15" hidden="false" customHeight="false" outlineLevel="0" collapsed="false">
      <c r="A885" s="5" t="s">
        <v>98</v>
      </c>
      <c r="B885" s="5" t="s">
        <v>1574</v>
      </c>
      <c r="C885" s="5" t="s">
        <v>5451</v>
      </c>
      <c r="D885" s="5" t="s">
        <v>5452</v>
      </c>
      <c r="E885" s="5" t="s">
        <v>4944</v>
      </c>
      <c r="F885" s="5" t="s">
        <v>265</v>
      </c>
      <c r="G885" s="5" t="s">
        <v>345</v>
      </c>
      <c r="H885" s="5" t="n">
        <v>3</v>
      </c>
      <c r="I885" s="5" t="s">
        <v>2208</v>
      </c>
      <c r="J885" s="5" t="s">
        <v>1575</v>
      </c>
      <c r="K885" s="5" t="s">
        <v>1576</v>
      </c>
    </row>
    <row r="886" customFormat="false" ht="15" hidden="false" customHeight="false" outlineLevel="0" collapsed="false">
      <c r="A886" s="5" t="s">
        <v>80</v>
      </c>
      <c r="B886" s="5" t="s">
        <v>1231</v>
      </c>
      <c r="C886" s="5" t="s">
        <v>5453</v>
      </c>
      <c r="D886" s="5" t="s">
        <v>5454</v>
      </c>
      <c r="E886" s="5" t="s">
        <v>4944</v>
      </c>
      <c r="F886" s="5" t="s">
        <v>104</v>
      </c>
      <c r="G886" s="5" t="s">
        <v>1232</v>
      </c>
      <c r="H886" s="5" t="n">
        <v>7</v>
      </c>
      <c r="I886" s="5" t="s">
        <v>1647</v>
      </c>
      <c r="J886" s="5" t="s">
        <v>1233</v>
      </c>
      <c r="K886" s="5" t="s">
        <v>1234</v>
      </c>
    </row>
    <row r="887" customFormat="false" ht="15" hidden="false" customHeight="false" outlineLevel="0" collapsed="false">
      <c r="A887" s="5" t="s">
        <v>63</v>
      </c>
      <c r="B887" s="5" t="s">
        <v>912</v>
      </c>
      <c r="C887" s="5" t="s">
        <v>5455</v>
      </c>
      <c r="D887" s="5" t="s">
        <v>5456</v>
      </c>
      <c r="E887" s="5" t="s">
        <v>4944</v>
      </c>
      <c r="F887" s="5" t="s">
        <v>265</v>
      </c>
      <c r="G887" s="5" t="s">
        <v>345</v>
      </c>
      <c r="H887" s="5" t="n">
        <v>4</v>
      </c>
      <c r="I887" s="5" t="s">
        <v>1656</v>
      </c>
      <c r="J887" s="5" t="s">
        <v>913</v>
      </c>
      <c r="K887" s="5" t="s">
        <v>914</v>
      </c>
    </row>
    <row r="888" customFormat="false" ht="15" hidden="false" customHeight="false" outlineLevel="0" collapsed="false">
      <c r="A888" s="5" t="s">
        <v>60</v>
      </c>
      <c r="B888" s="5" t="s">
        <v>5457</v>
      </c>
      <c r="C888" s="5" t="s">
        <v>5458</v>
      </c>
      <c r="D888" s="5" t="s">
        <v>5459</v>
      </c>
      <c r="E888" s="5" t="s">
        <v>4944</v>
      </c>
      <c r="F888" s="5" t="s">
        <v>265</v>
      </c>
      <c r="G888" s="5" t="s">
        <v>436</v>
      </c>
      <c r="H888" s="5" t="n">
        <v>2</v>
      </c>
      <c r="I888" s="5" t="s">
        <v>1760</v>
      </c>
      <c r="J888" s="5" t="s">
        <v>5460</v>
      </c>
      <c r="K888" s="5" t="s">
        <v>5461</v>
      </c>
    </row>
    <row r="889" customFormat="false" ht="15" hidden="false" customHeight="false" outlineLevel="0" collapsed="false">
      <c r="A889" s="5" t="s">
        <v>40</v>
      </c>
      <c r="B889" s="5" t="s">
        <v>5462</v>
      </c>
      <c r="C889" s="5" t="s">
        <v>5463</v>
      </c>
      <c r="D889" s="5" t="s">
        <v>5464</v>
      </c>
      <c r="E889" s="5" t="s">
        <v>4944</v>
      </c>
      <c r="F889" s="5" t="s">
        <v>265</v>
      </c>
      <c r="G889" s="5" t="s">
        <v>345</v>
      </c>
      <c r="H889" s="5" t="n">
        <v>3</v>
      </c>
      <c r="I889" s="5" t="s">
        <v>1966</v>
      </c>
      <c r="J889" s="5" t="s">
        <v>5465</v>
      </c>
      <c r="K889" s="5" t="s">
        <v>5466</v>
      </c>
    </row>
    <row r="890" customFormat="false" ht="15" hidden="false" customHeight="false" outlineLevel="0" collapsed="false">
      <c r="A890" s="5" t="s">
        <v>86</v>
      </c>
      <c r="B890" s="5" t="s">
        <v>5467</v>
      </c>
      <c r="C890" s="5" t="s">
        <v>5468</v>
      </c>
      <c r="D890" s="5" t="s">
        <v>5469</v>
      </c>
      <c r="E890" s="5" t="s">
        <v>4944</v>
      </c>
      <c r="F890" s="5" t="s">
        <v>265</v>
      </c>
      <c r="G890" s="5" t="s">
        <v>345</v>
      </c>
      <c r="H890" s="5" t="n">
        <v>2</v>
      </c>
      <c r="I890" s="5" t="s">
        <v>1647</v>
      </c>
      <c r="J890" s="5" t="s">
        <v>5470</v>
      </c>
      <c r="K890" s="5" t="s">
        <v>5471</v>
      </c>
    </row>
    <row r="891" customFormat="false" ht="15" hidden="false" customHeight="false" outlineLevel="0" collapsed="false">
      <c r="A891" s="5" t="s">
        <v>63</v>
      </c>
      <c r="B891" s="5" t="s">
        <v>5472</v>
      </c>
      <c r="C891" s="5" t="s">
        <v>5473</v>
      </c>
      <c r="D891" s="5" t="s">
        <v>5474</v>
      </c>
      <c r="E891" s="5" t="s">
        <v>4944</v>
      </c>
      <c r="F891" s="5" t="s">
        <v>265</v>
      </c>
      <c r="G891" s="5" t="s">
        <v>382</v>
      </c>
      <c r="H891" s="5" t="n">
        <v>2</v>
      </c>
      <c r="I891" s="5" t="s">
        <v>1709</v>
      </c>
      <c r="J891" s="5" t="s">
        <v>5475</v>
      </c>
      <c r="K891" s="5" t="s">
        <v>5476</v>
      </c>
    </row>
    <row r="892" customFormat="false" ht="15" hidden="false" customHeight="false" outlineLevel="0" collapsed="false">
      <c r="A892" s="5" t="s">
        <v>83</v>
      </c>
      <c r="B892" s="5" t="s">
        <v>5477</v>
      </c>
      <c r="C892" s="5" t="s">
        <v>5478</v>
      </c>
      <c r="D892" s="5" t="s">
        <v>5479</v>
      </c>
      <c r="E892" s="5" t="s">
        <v>4944</v>
      </c>
      <c r="F892" s="5" t="s">
        <v>265</v>
      </c>
      <c r="G892" s="5" t="s">
        <v>345</v>
      </c>
      <c r="H892" s="5" t="n">
        <v>1</v>
      </c>
      <c r="I892" s="5" t="s">
        <v>2709</v>
      </c>
      <c r="J892" s="5" t="s">
        <v>5480</v>
      </c>
      <c r="K892" s="5" t="s">
        <v>5481</v>
      </c>
    </row>
    <row r="893" customFormat="false" ht="15" hidden="false" customHeight="false" outlineLevel="0" collapsed="false">
      <c r="A893" s="5" t="s">
        <v>95</v>
      </c>
      <c r="B893" s="5" t="s">
        <v>1514</v>
      </c>
      <c r="C893" s="5" t="s">
        <v>5482</v>
      </c>
      <c r="D893" s="5" t="s">
        <v>5483</v>
      </c>
      <c r="E893" s="5" t="s">
        <v>4944</v>
      </c>
      <c r="F893" s="5" t="s">
        <v>104</v>
      </c>
      <c r="G893" s="5"/>
      <c r="H893" s="5" t="n">
        <v>2</v>
      </c>
      <c r="I893" s="5" t="s">
        <v>5484</v>
      </c>
      <c r="J893" s="5" t="s">
        <v>1515</v>
      </c>
      <c r="K893" s="5" t="s">
        <v>1516</v>
      </c>
    </row>
    <row r="894" customFormat="false" ht="15" hidden="false" customHeight="false" outlineLevel="0" collapsed="false">
      <c r="A894" s="5" t="s">
        <v>40</v>
      </c>
      <c r="B894" s="5" t="s">
        <v>5485</v>
      </c>
      <c r="C894" s="5" t="s">
        <v>5486</v>
      </c>
      <c r="D894" s="5" t="s">
        <v>5487</v>
      </c>
      <c r="E894" s="5" t="s">
        <v>4944</v>
      </c>
      <c r="F894" s="5" t="s">
        <v>265</v>
      </c>
      <c r="G894" s="5" t="s">
        <v>345</v>
      </c>
      <c r="H894" s="5" t="n">
        <v>2</v>
      </c>
      <c r="I894" s="5" t="s">
        <v>1652</v>
      </c>
      <c r="J894" s="5" t="s">
        <v>5488</v>
      </c>
      <c r="K894" s="5" t="s">
        <v>5489</v>
      </c>
    </row>
    <row r="895" customFormat="false" ht="15" hidden="false" customHeight="false" outlineLevel="0" collapsed="false">
      <c r="A895" s="5" t="s">
        <v>98</v>
      </c>
      <c r="B895" s="5" t="s">
        <v>5490</v>
      </c>
      <c r="C895" s="5" t="s">
        <v>5491</v>
      </c>
      <c r="D895" s="5" t="s">
        <v>5492</v>
      </c>
      <c r="E895" s="5" t="s">
        <v>4944</v>
      </c>
      <c r="F895" s="5" t="s">
        <v>265</v>
      </c>
      <c r="G895" s="5" t="s">
        <v>345</v>
      </c>
      <c r="H895" s="5" t="n">
        <v>3</v>
      </c>
      <c r="I895" s="5" t="s">
        <v>2208</v>
      </c>
      <c r="J895" s="5" t="s">
        <v>5493</v>
      </c>
      <c r="K895" s="5" t="s">
        <v>5494</v>
      </c>
    </row>
    <row r="896" customFormat="false" ht="15" hidden="false" customHeight="false" outlineLevel="0" collapsed="false">
      <c r="A896" s="5" t="s">
        <v>86</v>
      </c>
      <c r="B896" s="5" t="s">
        <v>5495</v>
      </c>
      <c r="C896" s="5" t="s">
        <v>5496</v>
      </c>
      <c r="D896" s="5" t="s">
        <v>5497</v>
      </c>
      <c r="E896" s="5" t="s">
        <v>4944</v>
      </c>
      <c r="F896" s="5" t="s">
        <v>104</v>
      </c>
      <c r="G896" s="5"/>
      <c r="H896" s="5"/>
      <c r="I896" s="5" t="s">
        <v>2248</v>
      </c>
      <c r="J896" s="5" t="s">
        <v>5498</v>
      </c>
      <c r="K896" s="5" t="s">
        <v>5499</v>
      </c>
    </row>
    <row r="897" customFormat="false" ht="15" hidden="false" customHeight="false" outlineLevel="0" collapsed="false">
      <c r="A897" s="5" t="s">
        <v>89</v>
      </c>
      <c r="B897" s="5" t="s">
        <v>5500</v>
      </c>
      <c r="C897" s="5" t="s">
        <v>5501</v>
      </c>
      <c r="D897" s="5" t="s">
        <v>5502</v>
      </c>
      <c r="E897" s="5" t="s">
        <v>4944</v>
      </c>
      <c r="F897" s="5" t="s">
        <v>265</v>
      </c>
      <c r="G897" s="5" t="s">
        <v>436</v>
      </c>
      <c r="H897" s="5" t="n">
        <v>4</v>
      </c>
      <c r="I897" s="5" t="s">
        <v>3509</v>
      </c>
      <c r="J897" s="5" t="s">
        <v>5503</v>
      </c>
      <c r="K897" s="5" t="s">
        <v>5504</v>
      </c>
    </row>
    <row r="898" customFormat="false" ht="15" hidden="false" customHeight="false" outlineLevel="0" collapsed="false">
      <c r="A898" s="5" t="s">
        <v>86</v>
      </c>
      <c r="B898" s="5" t="s">
        <v>5505</v>
      </c>
      <c r="C898" s="5" t="s">
        <v>5506</v>
      </c>
      <c r="D898" s="5" t="s">
        <v>5507</v>
      </c>
      <c r="E898" s="5" t="s">
        <v>4944</v>
      </c>
      <c r="F898" s="5" t="s">
        <v>265</v>
      </c>
      <c r="G898" s="5" t="s">
        <v>345</v>
      </c>
      <c r="H898" s="5" t="n">
        <v>2</v>
      </c>
      <c r="I898" s="5" t="s">
        <v>1709</v>
      </c>
      <c r="J898" s="5" t="s">
        <v>5508</v>
      </c>
      <c r="K898" s="5" t="s">
        <v>5509</v>
      </c>
    </row>
    <row r="899" customFormat="false" ht="15" hidden="false" customHeight="false" outlineLevel="0" collapsed="false">
      <c r="A899" s="5" t="s">
        <v>101</v>
      </c>
      <c r="B899" s="5" t="s">
        <v>5510</v>
      </c>
      <c r="C899" s="5" t="s">
        <v>5511</v>
      </c>
      <c r="D899" s="5" t="s">
        <v>5512</v>
      </c>
      <c r="E899" s="5" t="s">
        <v>4944</v>
      </c>
      <c r="F899" s="5" t="s">
        <v>265</v>
      </c>
      <c r="G899" s="5" t="s">
        <v>436</v>
      </c>
      <c r="H899" s="5" t="n">
        <v>6</v>
      </c>
      <c r="I899" s="5" t="s">
        <v>1629</v>
      </c>
      <c r="J899" s="5" t="s">
        <v>5513</v>
      </c>
      <c r="K899" s="5" t="s">
        <v>5514</v>
      </c>
    </row>
    <row r="900" customFormat="false" ht="15" hidden="false" customHeight="false" outlineLevel="0" collapsed="false">
      <c r="A900" s="5" t="s">
        <v>101</v>
      </c>
      <c r="B900" s="5" t="s">
        <v>1606</v>
      </c>
      <c r="C900" s="5" t="s">
        <v>5515</v>
      </c>
      <c r="D900" s="5" t="s">
        <v>5516</v>
      </c>
      <c r="E900" s="5" t="s">
        <v>4944</v>
      </c>
      <c r="F900" s="5" t="s">
        <v>265</v>
      </c>
      <c r="G900" s="5" t="s">
        <v>345</v>
      </c>
      <c r="H900" s="5" t="n">
        <v>2</v>
      </c>
      <c r="I900" s="5" t="s">
        <v>1836</v>
      </c>
      <c r="J900" s="5" t="s">
        <v>1607</v>
      </c>
      <c r="K900" s="5" t="s">
        <v>1608</v>
      </c>
    </row>
    <row r="901" customFormat="false" ht="15" hidden="false" customHeight="false" outlineLevel="0" collapsed="false">
      <c r="A901" s="5" t="s">
        <v>66</v>
      </c>
      <c r="B901" s="5" t="s">
        <v>5517</v>
      </c>
      <c r="C901" s="5" t="s">
        <v>5518</v>
      </c>
      <c r="D901" s="5" t="s">
        <v>5519</v>
      </c>
      <c r="E901" s="5" t="s">
        <v>4944</v>
      </c>
      <c r="F901" s="5" t="s">
        <v>265</v>
      </c>
      <c r="G901" s="5" t="s">
        <v>345</v>
      </c>
      <c r="H901" s="5" t="n">
        <v>2</v>
      </c>
      <c r="I901" s="5" t="s">
        <v>1664</v>
      </c>
      <c r="J901" s="5" t="s">
        <v>5520</v>
      </c>
      <c r="K901" s="5" t="s">
        <v>5521</v>
      </c>
    </row>
  </sheetData>
  <autoFilter ref="A1:K90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2026-10-13T07:25:08Z</dcterms:created>
  <dc:creator>openpyxl</dc:creator>
  <dc:description/>
  <dc:language>en-US</dc:language>
  <cp:lastModifiedBy/>
  <dcterms:modified xsi:type="dcterms:W3CDTF">2026-10-13T07:25:08Z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